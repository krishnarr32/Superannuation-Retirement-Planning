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0f474431922a08ff/Documents/Project 705/"/>
    </mc:Choice>
  </mc:AlternateContent>
  <xr:revisionPtr revIDLastSave="0" documentId="8_{A1A8AC42-7295-433D-B9A3-F18C080BD125}" xr6:coauthVersionLast="47" xr6:coauthVersionMax="47" xr10:uidLastSave="{00000000-0000-0000-0000-000000000000}"/>
  <bookViews>
    <workbookView xWindow="-98" yWindow="-98" windowWidth="21795" windowHeight="11625" tabRatio="964" activeTab="8" xr2:uid="{15774AE1-961C-44B8-A3E8-557069DE41EC}"/>
  </bookViews>
  <sheets>
    <sheet name="Dashboard" sheetId="12" r:id="rId1"/>
    <sheet name="Sheet7" sheetId="13" state="hidden" r:id="rId2"/>
    <sheet name="Retirement Capital" sheetId="5" r:id="rId3"/>
    <sheet name="Sensitivity Report - Base case" sheetId="11" r:id="rId4"/>
    <sheet name="Base Case" sheetId="1" r:id="rId5"/>
    <sheet name="Sensitivity Report - Best Case" sheetId="9" r:id="rId6"/>
    <sheet name="Best Case" sheetId="3" r:id="rId7"/>
    <sheet name="Sensitivity Report - Worst Case" sheetId="10" r:id="rId8"/>
    <sheet name="Worst Case" sheetId="4" r:id="rId9"/>
  </sheets>
  <definedNames>
    <definedName name="solver_adj" localSheetId="4" hidden="1">'Base Case'!$V$5:$V$7</definedName>
    <definedName name="solver_adj" localSheetId="6" hidden="1">'Best Case'!$V$5:$V$7</definedName>
    <definedName name="solver_adj" localSheetId="8" hidden="1">'Worst Case'!$V$5:$V$7</definedName>
    <definedName name="solver_cvg" localSheetId="4" hidden="1">0.0001</definedName>
    <definedName name="solver_cvg" localSheetId="6" hidden="1">0.0001</definedName>
    <definedName name="solver_cvg" localSheetId="8" hidden="1">0.0001</definedName>
    <definedName name="solver_drv" localSheetId="4" hidden="1">1</definedName>
    <definedName name="solver_drv" localSheetId="6" hidden="1">2</definedName>
    <definedName name="solver_drv" localSheetId="8" hidden="1">2</definedName>
    <definedName name="solver_eng" localSheetId="4" hidden="1">1</definedName>
    <definedName name="solver_eng" localSheetId="6" hidden="1">1</definedName>
    <definedName name="solver_eng" localSheetId="8" hidden="1">1</definedName>
    <definedName name="solver_est" localSheetId="4" hidden="1">1</definedName>
    <definedName name="solver_est" localSheetId="6" hidden="1">1</definedName>
    <definedName name="solver_est" localSheetId="8" hidden="1">1</definedName>
    <definedName name="solver_itr" localSheetId="4" hidden="1">2147483647</definedName>
    <definedName name="solver_itr" localSheetId="6" hidden="1">2147483647</definedName>
    <definedName name="solver_itr" localSheetId="8" hidden="1">2147483647</definedName>
    <definedName name="solver_lhs1" localSheetId="4" hidden="1">'Base Case'!$V$11</definedName>
    <definedName name="solver_lhs1" localSheetId="6" hidden="1">'Best Case'!$V$11</definedName>
    <definedName name="solver_lhs1" localSheetId="8" hidden="1">'Worst Case'!$V$11</definedName>
    <definedName name="solver_lhs2" localSheetId="4" hidden="1">'Base Case'!$V$5</definedName>
    <definedName name="solver_lhs2" localSheetId="6" hidden="1">'Best Case'!$V$5</definedName>
    <definedName name="solver_lhs2" localSheetId="8" hidden="1">'Worst Case'!$V$5</definedName>
    <definedName name="solver_lhs3" localSheetId="4" hidden="1">'Base Case'!$V$6</definedName>
    <definedName name="solver_lhs3" localSheetId="6" hidden="1">'Best Case'!$V$6</definedName>
    <definedName name="solver_lhs3" localSheetId="8" hidden="1">'Worst Case'!$V$6</definedName>
    <definedName name="solver_lhs4" localSheetId="4" hidden="1">'Base Case'!$V$7</definedName>
    <definedName name="solver_lhs4" localSheetId="6" hidden="1">'Best Case'!$V$7</definedName>
    <definedName name="solver_lhs4" localSheetId="8" hidden="1">'Worst Case'!$V$7</definedName>
    <definedName name="solver_lhs5" localSheetId="4" hidden="1">'Base Case'!$V$8</definedName>
    <definedName name="solver_lhs5" localSheetId="6" hidden="1">'Best Case'!$V$8</definedName>
    <definedName name="solver_lhs5" localSheetId="8" hidden="1">'Worst Case'!$V$8</definedName>
    <definedName name="solver_lhs6" localSheetId="6" hidden="1">'Best Case'!$V$8</definedName>
    <definedName name="solver_lhs6" localSheetId="8" hidden="1">'Worst Case'!$V$17:$X$17</definedName>
    <definedName name="solver_mip" localSheetId="4" hidden="1">2147483647</definedName>
    <definedName name="solver_mip" localSheetId="6" hidden="1">2147483647</definedName>
    <definedName name="solver_mip" localSheetId="8" hidden="1">2147483647</definedName>
    <definedName name="solver_mni" localSheetId="4" hidden="1">30</definedName>
    <definedName name="solver_mni" localSheetId="6" hidden="1">30</definedName>
    <definedName name="solver_mni" localSheetId="8" hidden="1">30</definedName>
    <definedName name="solver_mrt" localSheetId="4" hidden="1">0.075</definedName>
    <definedName name="solver_mrt" localSheetId="6" hidden="1">0.075</definedName>
    <definedName name="solver_mrt" localSheetId="8" hidden="1">0.075</definedName>
    <definedName name="solver_msl" localSheetId="4" hidden="1">2</definedName>
    <definedName name="solver_msl" localSheetId="6" hidden="1">2</definedName>
    <definedName name="solver_msl" localSheetId="8" hidden="1">2</definedName>
    <definedName name="solver_neg" localSheetId="4" hidden="1">1</definedName>
    <definedName name="solver_neg" localSheetId="6" hidden="1">1</definedName>
    <definedName name="solver_neg" localSheetId="8" hidden="1">1</definedName>
    <definedName name="solver_nod" localSheetId="4" hidden="1">2147483647</definedName>
    <definedName name="solver_nod" localSheetId="6" hidden="1">2147483647</definedName>
    <definedName name="solver_nod" localSheetId="8" hidden="1">2147483647</definedName>
    <definedName name="solver_num" localSheetId="4" hidden="1">5</definedName>
    <definedName name="solver_num" localSheetId="6" hidden="1">5</definedName>
    <definedName name="solver_num" localSheetId="8" hidden="1">5</definedName>
    <definedName name="solver_nwt" localSheetId="4" hidden="1">1</definedName>
    <definedName name="solver_nwt" localSheetId="6" hidden="1">1</definedName>
    <definedName name="solver_nwt" localSheetId="8" hidden="1">1</definedName>
    <definedName name="solver_opt" localSheetId="4" hidden="1">'Base Case'!$V$9</definedName>
    <definedName name="solver_opt" localSheetId="6" hidden="1">'Best Case'!$V$9</definedName>
    <definedName name="solver_opt" localSheetId="8" hidden="1">'Worst Case'!$V$9</definedName>
    <definedName name="solver_pre" localSheetId="4" hidden="1">0.000001</definedName>
    <definedName name="solver_pre" localSheetId="6" hidden="1">0.000001</definedName>
    <definedName name="solver_pre" localSheetId="8" hidden="1">0.000001</definedName>
    <definedName name="solver_rbv" localSheetId="4" hidden="1">1</definedName>
    <definedName name="solver_rbv" localSheetId="6" hidden="1">2</definedName>
    <definedName name="solver_rbv" localSheetId="8" hidden="1">2</definedName>
    <definedName name="solver_rel1" localSheetId="4" hidden="1">1</definedName>
    <definedName name="solver_rel1" localSheetId="6" hidden="1">1</definedName>
    <definedName name="solver_rel1" localSheetId="8" hidden="1">1</definedName>
    <definedName name="solver_rel2" localSheetId="4" hidden="1">2</definedName>
    <definedName name="solver_rel2" localSheetId="6" hidden="1">3</definedName>
    <definedName name="solver_rel2" localSheetId="8" hidden="1">3</definedName>
    <definedName name="solver_rel3" localSheetId="4" hidden="1">2</definedName>
    <definedName name="solver_rel3" localSheetId="6" hidden="1">3</definedName>
    <definedName name="solver_rel3" localSheetId="8" hidden="1">3</definedName>
    <definedName name="solver_rel4" localSheetId="4" hidden="1">2</definedName>
    <definedName name="solver_rel4" localSheetId="6" hidden="1">3</definedName>
    <definedName name="solver_rel4" localSheetId="8" hidden="1">3</definedName>
    <definedName name="solver_rel5" localSheetId="4" hidden="1">2</definedName>
    <definedName name="solver_rel5" localSheetId="6" hidden="1">2</definedName>
    <definedName name="solver_rel5" localSheetId="8" hidden="1">2</definedName>
    <definedName name="solver_rel6" localSheetId="6" hidden="1">2</definedName>
    <definedName name="solver_rel6" localSheetId="8" hidden="1">3</definedName>
    <definedName name="solver_rhs1" localSheetId="4" hidden="1">12%</definedName>
    <definedName name="solver_rhs1" localSheetId="6" hidden="1">12%</definedName>
    <definedName name="solver_rhs1" localSheetId="8" hidden="1">12%</definedName>
    <definedName name="solver_rhs2" localSheetId="4" hidden="1">0.4</definedName>
    <definedName name="solver_rhs2" localSheetId="6" hidden="1">0.1</definedName>
    <definedName name="solver_rhs2" localSheetId="8" hidden="1">0.1</definedName>
    <definedName name="solver_rhs3" localSheetId="4" hidden="1">0.3</definedName>
    <definedName name="solver_rhs3" localSheetId="6" hidden="1">0.1</definedName>
    <definedName name="solver_rhs3" localSheetId="8" hidden="1">0.1</definedName>
    <definedName name="solver_rhs4" localSheetId="4" hidden="1">0.3</definedName>
    <definedName name="solver_rhs4" localSheetId="6" hidden="1">0.1</definedName>
    <definedName name="solver_rhs4" localSheetId="8" hidden="1">0.1</definedName>
    <definedName name="solver_rhs5" localSheetId="4" hidden="1">1</definedName>
    <definedName name="solver_rhs5" localSheetId="6" hidden="1">1</definedName>
    <definedName name="solver_rhs5" localSheetId="8" hidden="1">1</definedName>
    <definedName name="solver_rhs6" localSheetId="6" hidden="1">100%</definedName>
    <definedName name="solver_rhs6" localSheetId="8" hidden="1">0</definedName>
    <definedName name="solver_rlx" localSheetId="4" hidden="1">2</definedName>
    <definedName name="solver_rlx" localSheetId="6" hidden="1">2</definedName>
    <definedName name="solver_rlx" localSheetId="8" hidden="1">2</definedName>
    <definedName name="solver_rsd" localSheetId="4" hidden="1">0</definedName>
    <definedName name="solver_rsd" localSheetId="6" hidden="1">0</definedName>
    <definedName name="solver_rsd" localSheetId="8" hidden="1">0</definedName>
    <definedName name="solver_scl" localSheetId="4" hidden="1">1</definedName>
    <definedName name="solver_scl" localSheetId="6" hidden="1">2</definedName>
    <definedName name="solver_scl" localSheetId="8" hidden="1">2</definedName>
    <definedName name="solver_sho" localSheetId="4" hidden="1">2</definedName>
    <definedName name="solver_sho" localSheetId="6" hidden="1">2</definedName>
    <definedName name="solver_sho" localSheetId="8" hidden="1">2</definedName>
    <definedName name="solver_ssz" localSheetId="4" hidden="1">100</definedName>
    <definedName name="solver_ssz" localSheetId="6" hidden="1">100</definedName>
    <definedName name="solver_ssz" localSheetId="8" hidden="1">100</definedName>
    <definedName name="solver_tim" localSheetId="4" hidden="1">2147483647</definedName>
    <definedName name="solver_tim" localSheetId="6" hidden="1">2147483647</definedName>
    <definedName name="solver_tim" localSheetId="8" hidden="1">2147483647</definedName>
    <definedName name="solver_tol" localSheetId="4" hidden="1">0.01</definedName>
    <definedName name="solver_tol" localSheetId="6" hidden="1">0.01</definedName>
    <definedName name="solver_tol" localSheetId="8" hidden="1">0.01</definedName>
    <definedName name="solver_typ" localSheetId="4" hidden="1">1</definedName>
    <definedName name="solver_typ" localSheetId="6" hidden="1">1</definedName>
    <definedName name="solver_typ" localSheetId="8" hidden="1">2</definedName>
    <definedName name="solver_val" localSheetId="4" hidden="1">0</definedName>
    <definedName name="solver_val" localSheetId="6" hidden="1">0</definedName>
    <definedName name="solver_val" localSheetId="8" hidden="1">0</definedName>
    <definedName name="solver_ver" localSheetId="4" hidden="1">3</definedName>
    <definedName name="solver_ver" localSheetId="6" hidden="1">3</definedName>
    <definedName name="solver_ver" localSheetId="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12" l="1"/>
  <c r="E19" i="12"/>
  <c r="D20" i="12"/>
  <c r="D19" i="12"/>
  <c r="E18" i="12"/>
  <c r="E17" i="12"/>
  <c r="E16" i="12"/>
  <c r="D18" i="12"/>
  <c r="D17" i="12"/>
  <c r="D16" i="12"/>
  <c r="C20" i="12"/>
  <c r="C19" i="12"/>
  <c r="C18" i="12"/>
  <c r="C17" i="12"/>
  <c r="C16" i="12"/>
  <c r="C9" i="12"/>
  <c r="C7" i="12"/>
  <c r="V9" i="1"/>
  <c r="V11" i="1"/>
  <c r="V8" i="1"/>
  <c r="V11" i="4"/>
  <c r="V9" i="4"/>
  <c r="V8" i="4"/>
  <c r="V9" i="3"/>
  <c r="V11" i="3"/>
  <c r="V8" i="3"/>
  <c r="D7" i="1"/>
  <c r="M3" i="1"/>
  <c r="L3" i="4"/>
  <c r="L3" i="3"/>
  <c r="D8" i="3"/>
  <c r="E11" i="5"/>
  <c r="E10" i="5"/>
  <c r="E9" i="5"/>
  <c r="D12" i="5"/>
  <c r="E8" i="5"/>
  <c r="S9" i="5"/>
  <c r="M9" i="5"/>
  <c r="M8" i="5"/>
  <c r="F54" i="3"/>
  <c r="F53" i="3"/>
  <c r="F52" i="3"/>
  <c r="E52" i="3"/>
  <c r="E53" i="3" s="1"/>
  <c r="E54" i="3" s="1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G18" i="4" s="1"/>
  <c r="E18" i="4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I17" i="4"/>
  <c r="H17" i="4"/>
  <c r="F17" i="4"/>
  <c r="J12" i="4"/>
  <c r="I17" i="3"/>
  <c r="H17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G18" i="3" s="1"/>
  <c r="H18" i="3" s="1"/>
  <c r="E18" i="3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F17" i="3"/>
  <c r="L18" i="1"/>
  <c r="J11" i="1"/>
  <c r="M17" i="1"/>
  <c r="J17" i="1"/>
  <c r="I17" i="1"/>
  <c r="H17" i="1"/>
  <c r="F18" i="1"/>
  <c r="G18" i="1" s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17" i="1"/>
  <c r="E18" i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12" i="5" l="1"/>
  <c r="S13" i="5"/>
  <c r="U14" i="5" s="1"/>
  <c r="E16" i="5" s="1"/>
  <c r="C8" i="12" s="1"/>
  <c r="J17" i="4"/>
  <c r="H18" i="4"/>
  <c r="G19" i="4"/>
  <c r="I18" i="4"/>
  <c r="L17" i="4"/>
  <c r="K18" i="4"/>
  <c r="I18" i="3"/>
  <c r="G19" i="3"/>
  <c r="J17" i="3"/>
  <c r="G19" i="1"/>
  <c r="H18" i="1"/>
  <c r="M10" i="5" l="1"/>
  <c r="I19" i="4"/>
  <c r="H19" i="4"/>
  <c r="G20" i="4"/>
  <c r="J18" i="4"/>
  <c r="H19" i="3"/>
  <c r="I19" i="3"/>
  <c r="L17" i="3"/>
  <c r="K18" i="3"/>
  <c r="G20" i="3"/>
  <c r="J18" i="3"/>
  <c r="I18" i="1"/>
  <c r="J18" i="1" s="1"/>
  <c r="L19" i="1" s="1"/>
  <c r="G20" i="1"/>
  <c r="H19" i="1"/>
  <c r="K19" i="4" l="1"/>
  <c r="L18" i="4"/>
  <c r="G21" i="4"/>
  <c r="I20" i="4"/>
  <c r="H20" i="4"/>
  <c r="J19" i="4"/>
  <c r="H20" i="3"/>
  <c r="I20" i="3"/>
  <c r="K19" i="3"/>
  <c r="L18" i="3"/>
  <c r="J19" i="3"/>
  <c r="G21" i="3"/>
  <c r="M18" i="1"/>
  <c r="I19" i="1"/>
  <c r="J19" i="1" s="1"/>
  <c r="L20" i="1" s="1"/>
  <c r="G21" i="1"/>
  <c r="H20" i="1"/>
  <c r="J20" i="4" l="1"/>
  <c r="L19" i="4"/>
  <c r="K20" i="4"/>
  <c r="H21" i="4"/>
  <c r="G22" i="4"/>
  <c r="I21" i="4"/>
  <c r="H21" i="3"/>
  <c r="I21" i="3"/>
  <c r="G22" i="3"/>
  <c r="J20" i="3"/>
  <c r="L19" i="3"/>
  <c r="K20" i="3"/>
  <c r="M19" i="1"/>
  <c r="I20" i="1"/>
  <c r="J20" i="1" s="1"/>
  <c r="L21" i="1" s="1"/>
  <c r="H21" i="1"/>
  <c r="G22" i="1"/>
  <c r="J21" i="4" l="1"/>
  <c r="L20" i="4"/>
  <c r="I22" i="4"/>
  <c r="H22" i="4"/>
  <c r="G23" i="4"/>
  <c r="K21" i="4"/>
  <c r="H22" i="3"/>
  <c r="I22" i="3"/>
  <c r="L20" i="3"/>
  <c r="K21" i="3"/>
  <c r="G23" i="3"/>
  <c r="H23" i="3" s="1"/>
  <c r="J21" i="3"/>
  <c r="M20" i="1"/>
  <c r="I21" i="1"/>
  <c r="J21" i="1" s="1"/>
  <c r="L22" i="1" s="1"/>
  <c r="G23" i="1"/>
  <c r="H22" i="1"/>
  <c r="K22" i="4" l="1"/>
  <c r="J22" i="4"/>
  <c r="L21" i="4"/>
  <c r="G24" i="4"/>
  <c r="I23" i="4"/>
  <c r="H23" i="4"/>
  <c r="I23" i="3"/>
  <c r="J22" i="3"/>
  <c r="K22" i="3"/>
  <c r="L21" i="3"/>
  <c r="G24" i="3"/>
  <c r="H24" i="3" s="1"/>
  <c r="M21" i="1"/>
  <c r="I22" i="1"/>
  <c r="J22" i="1" s="1"/>
  <c r="L23" i="1" s="1"/>
  <c r="G24" i="1"/>
  <c r="H23" i="1"/>
  <c r="K23" i="4" l="1"/>
  <c r="J23" i="4"/>
  <c r="L22" i="4"/>
  <c r="H24" i="4"/>
  <c r="G25" i="4"/>
  <c r="I24" i="4"/>
  <c r="I24" i="3"/>
  <c r="G25" i="3"/>
  <c r="H25" i="3" s="1"/>
  <c r="J23" i="3"/>
  <c r="L22" i="3"/>
  <c r="K23" i="3"/>
  <c r="M22" i="1"/>
  <c r="I23" i="1"/>
  <c r="J23" i="1" s="1"/>
  <c r="L24" i="1" s="1"/>
  <c r="G25" i="1"/>
  <c r="H24" i="1"/>
  <c r="K24" i="4" l="1"/>
  <c r="L23" i="4"/>
  <c r="I25" i="4"/>
  <c r="H25" i="4"/>
  <c r="G26" i="4"/>
  <c r="J24" i="4"/>
  <c r="I25" i="3"/>
  <c r="L23" i="3"/>
  <c r="K24" i="3"/>
  <c r="G26" i="3"/>
  <c r="H26" i="3" s="1"/>
  <c r="J24" i="3"/>
  <c r="M23" i="1"/>
  <c r="I24" i="1"/>
  <c r="J24" i="1" s="1"/>
  <c r="L25" i="1" s="1"/>
  <c r="G26" i="1"/>
  <c r="H25" i="1"/>
  <c r="J25" i="4" l="1"/>
  <c r="G27" i="4"/>
  <c r="I26" i="4"/>
  <c r="H26" i="4"/>
  <c r="K25" i="4"/>
  <c r="L24" i="4"/>
  <c r="I26" i="3"/>
  <c r="K25" i="3"/>
  <c r="L24" i="3"/>
  <c r="G27" i="3"/>
  <c r="H27" i="3" s="1"/>
  <c r="J25" i="3"/>
  <c r="M24" i="1"/>
  <c r="I25" i="1"/>
  <c r="J25" i="1" s="1"/>
  <c r="L26" i="1" s="1"/>
  <c r="G27" i="1"/>
  <c r="H26" i="1"/>
  <c r="K26" i="4" l="1"/>
  <c r="J26" i="4"/>
  <c r="L25" i="4"/>
  <c r="H27" i="4"/>
  <c r="G28" i="4"/>
  <c r="I27" i="4"/>
  <c r="I27" i="3"/>
  <c r="L25" i="3"/>
  <c r="K26" i="3"/>
  <c r="J26" i="3"/>
  <c r="G28" i="3"/>
  <c r="H28" i="3" s="1"/>
  <c r="M25" i="1"/>
  <c r="I26" i="1"/>
  <c r="J26" i="1" s="1"/>
  <c r="L27" i="1" s="1"/>
  <c r="G28" i="1"/>
  <c r="H27" i="1"/>
  <c r="L26" i="4" l="1"/>
  <c r="K27" i="4"/>
  <c r="I28" i="4"/>
  <c r="H28" i="4"/>
  <c r="G29" i="4"/>
  <c r="J27" i="4"/>
  <c r="I28" i="3"/>
  <c r="L26" i="3"/>
  <c r="K27" i="3"/>
  <c r="J27" i="3"/>
  <c r="G29" i="3"/>
  <c r="H29" i="3" s="1"/>
  <c r="M26" i="1"/>
  <c r="I27" i="1"/>
  <c r="J27" i="1" s="1"/>
  <c r="L28" i="1" s="1"/>
  <c r="G29" i="1"/>
  <c r="H28" i="1"/>
  <c r="J28" i="4" l="1"/>
  <c r="G30" i="4"/>
  <c r="I29" i="4"/>
  <c r="H29" i="4"/>
  <c r="K28" i="4"/>
  <c r="L27" i="4"/>
  <c r="I29" i="3"/>
  <c r="K28" i="3"/>
  <c r="L27" i="3"/>
  <c r="G30" i="3"/>
  <c r="H30" i="3" s="1"/>
  <c r="J28" i="3"/>
  <c r="M27" i="1"/>
  <c r="I28" i="1"/>
  <c r="J28" i="1" s="1"/>
  <c r="L29" i="1" s="1"/>
  <c r="G30" i="1"/>
  <c r="H29" i="1"/>
  <c r="J29" i="4" l="1"/>
  <c r="L28" i="4"/>
  <c r="K29" i="4"/>
  <c r="H30" i="4"/>
  <c r="G31" i="4"/>
  <c r="I30" i="4"/>
  <c r="I30" i="3"/>
  <c r="L28" i="3"/>
  <c r="K29" i="3"/>
  <c r="J29" i="3"/>
  <c r="G31" i="3"/>
  <c r="H31" i="3" s="1"/>
  <c r="M28" i="1"/>
  <c r="I29" i="1"/>
  <c r="J29" i="1" s="1"/>
  <c r="L30" i="1" s="1"/>
  <c r="G31" i="1"/>
  <c r="H30" i="1"/>
  <c r="L29" i="4" l="1"/>
  <c r="K30" i="4"/>
  <c r="I31" i="4"/>
  <c r="H31" i="4"/>
  <c r="G32" i="4"/>
  <c r="J30" i="4"/>
  <c r="I31" i="3"/>
  <c r="L29" i="3"/>
  <c r="K30" i="3"/>
  <c r="G32" i="3"/>
  <c r="H32" i="3" s="1"/>
  <c r="J30" i="3"/>
  <c r="M29" i="1"/>
  <c r="I30" i="1"/>
  <c r="J30" i="1" s="1"/>
  <c r="L31" i="1" s="1"/>
  <c r="G32" i="1"/>
  <c r="H31" i="1"/>
  <c r="J31" i="4" l="1"/>
  <c r="G33" i="4"/>
  <c r="I32" i="4"/>
  <c r="H32" i="4"/>
  <c r="K31" i="4"/>
  <c r="L30" i="4"/>
  <c r="I32" i="3"/>
  <c r="J31" i="3"/>
  <c r="K31" i="3"/>
  <c r="L30" i="3"/>
  <c r="G33" i="3"/>
  <c r="H33" i="3" s="1"/>
  <c r="M30" i="1"/>
  <c r="I31" i="1"/>
  <c r="J31" i="1" s="1"/>
  <c r="L32" i="1" s="1"/>
  <c r="G33" i="1"/>
  <c r="H32" i="1"/>
  <c r="K32" i="4" l="1"/>
  <c r="L31" i="4"/>
  <c r="J32" i="4"/>
  <c r="H33" i="4"/>
  <c r="G34" i="4"/>
  <c r="I33" i="4"/>
  <c r="I33" i="3"/>
  <c r="L31" i="3"/>
  <c r="K32" i="3"/>
  <c r="G34" i="3"/>
  <c r="H34" i="3" s="1"/>
  <c r="J32" i="3"/>
  <c r="M31" i="1"/>
  <c r="I32" i="1"/>
  <c r="J32" i="1" s="1"/>
  <c r="L33" i="1" s="1"/>
  <c r="G34" i="1"/>
  <c r="H33" i="1"/>
  <c r="K33" i="4" l="1"/>
  <c r="L32" i="4"/>
  <c r="J33" i="4"/>
  <c r="I34" i="4"/>
  <c r="H34" i="4"/>
  <c r="G35" i="4"/>
  <c r="I34" i="3"/>
  <c r="L32" i="3"/>
  <c r="K33" i="3"/>
  <c r="G35" i="3"/>
  <c r="H35" i="3" s="1"/>
  <c r="J33" i="3"/>
  <c r="M32" i="1"/>
  <c r="I33" i="1"/>
  <c r="J33" i="1" s="1"/>
  <c r="L34" i="1" s="1"/>
  <c r="G35" i="1"/>
  <c r="H34" i="1"/>
  <c r="K34" i="4" l="1"/>
  <c r="L33" i="4"/>
  <c r="J34" i="4"/>
  <c r="G36" i="4"/>
  <c r="I35" i="4"/>
  <c r="H35" i="4"/>
  <c r="I35" i="3"/>
  <c r="K34" i="3"/>
  <c r="L33" i="3"/>
  <c r="J34" i="3"/>
  <c r="G36" i="3"/>
  <c r="H36" i="3" s="1"/>
  <c r="M33" i="1"/>
  <c r="I34" i="1"/>
  <c r="J34" i="1" s="1"/>
  <c r="L35" i="1" s="1"/>
  <c r="G36" i="1"/>
  <c r="H35" i="1"/>
  <c r="L34" i="4" l="1"/>
  <c r="K35" i="4"/>
  <c r="J35" i="4"/>
  <c r="H36" i="4"/>
  <c r="G37" i="4"/>
  <c r="I36" i="4"/>
  <c r="I36" i="3"/>
  <c r="J35" i="3"/>
  <c r="G37" i="3"/>
  <c r="H37" i="3" s="1"/>
  <c r="L34" i="3"/>
  <c r="K35" i="3"/>
  <c r="M34" i="1"/>
  <c r="I35" i="1"/>
  <c r="J35" i="1" s="1"/>
  <c r="L36" i="1" s="1"/>
  <c r="G37" i="1"/>
  <c r="H36" i="1"/>
  <c r="L35" i="4" l="1"/>
  <c r="K36" i="4"/>
  <c r="I37" i="4"/>
  <c r="H37" i="4"/>
  <c r="G38" i="4"/>
  <c r="J36" i="4"/>
  <c r="I37" i="3"/>
  <c r="L35" i="3"/>
  <c r="K36" i="3"/>
  <c r="G38" i="3"/>
  <c r="H38" i="3" s="1"/>
  <c r="J36" i="3"/>
  <c r="M35" i="1"/>
  <c r="I36" i="1"/>
  <c r="J36" i="1" s="1"/>
  <c r="L37" i="1" s="1"/>
  <c r="G38" i="1"/>
  <c r="H37" i="1"/>
  <c r="J37" i="4" l="1"/>
  <c r="K37" i="4"/>
  <c r="L36" i="4"/>
  <c r="G39" i="4"/>
  <c r="I38" i="4"/>
  <c r="H38" i="4"/>
  <c r="I38" i="3"/>
  <c r="K37" i="3"/>
  <c r="L36" i="3"/>
  <c r="G39" i="3"/>
  <c r="H39" i="3" s="1"/>
  <c r="J37" i="3"/>
  <c r="M36" i="1"/>
  <c r="I37" i="1"/>
  <c r="J37" i="1" s="1"/>
  <c r="L38" i="1" s="1"/>
  <c r="G39" i="1"/>
  <c r="H38" i="1"/>
  <c r="L37" i="4" l="1"/>
  <c r="K38" i="4"/>
  <c r="J38" i="4"/>
  <c r="H39" i="4"/>
  <c r="G40" i="4"/>
  <c r="I39" i="4"/>
  <c r="I39" i="3"/>
  <c r="L37" i="3"/>
  <c r="K38" i="3"/>
  <c r="J38" i="3"/>
  <c r="G40" i="3"/>
  <c r="H40" i="3" s="1"/>
  <c r="M37" i="1"/>
  <c r="I38" i="1"/>
  <c r="J38" i="1" s="1"/>
  <c r="L39" i="1" s="1"/>
  <c r="G40" i="1"/>
  <c r="H39" i="1"/>
  <c r="L38" i="4" l="1"/>
  <c r="K39" i="4"/>
  <c r="I40" i="4"/>
  <c r="H40" i="4"/>
  <c r="G41" i="4"/>
  <c r="J39" i="4"/>
  <c r="I40" i="3"/>
  <c r="L38" i="3"/>
  <c r="K39" i="3"/>
  <c r="G41" i="3"/>
  <c r="H41" i="3" s="1"/>
  <c r="J39" i="3"/>
  <c r="M38" i="1"/>
  <c r="I39" i="1"/>
  <c r="J39" i="1" s="1"/>
  <c r="L40" i="1" s="1"/>
  <c r="G41" i="1"/>
  <c r="H40" i="1"/>
  <c r="J40" i="4" l="1"/>
  <c r="K40" i="4"/>
  <c r="L39" i="4"/>
  <c r="G42" i="4"/>
  <c r="I41" i="4"/>
  <c r="H41" i="4"/>
  <c r="I41" i="3"/>
  <c r="K40" i="3"/>
  <c r="L39" i="3"/>
  <c r="G42" i="3"/>
  <c r="H42" i="3" s="1"/>
  <c r="J40" i="3"/>
  <c r="M39" i="1"/>
  <c r="I40" i="1"/>
  <c r="J40" i="1" s="1"/>
  <c r="L41" i="1" s="1"/>
  <c r="G42" i="1"/>
  <c r="H41" i="1"/>
  <c r="J41" i="4" l="1"/>
  <c r="L40" i="4"/>
  <c r="H42" i="4"/>
  <c r="G43" i="4"/>
  <c r="I42" i="4"/>
  <c r="K41" i="4"/>
  <c r="I42" i="3"/>
  <c r="L40" i="3"/>
  <c r="K41" i="3"/>
  <c r="J41" i="3"/>
  <c r="G43" i="3"/>
  <c r="H43" i="3" s="1"/>
  <c r="M40" i="1"/>
  <c r="I41" i="1"/>
  <c r="J41" i="1" s="1"/>
  <c r="L42" i="1" s="1"/>
  <c r="G43" i="1"/>
  <c r="H42" i="1"/>
  <c r="L41" i="4" l="1"/>
  <c r="I43" i="4"/>
  <c r="H43" i="4"/>
  <c r="G44" i="4"/>
  <c r="K42" i="4"/>
  <c r="J42" i="4"/>
  <c r="I43" i="3"/>
  <c r="L41" i="3"/>
  <c r="K42" i="3"/>
  <c r="G44" i="3"/>
  <c r="H44" i="3" s="1"/>
  <c r="J42" i="3"/>
  <c r="M41" i="1"/>
  <c r="I42" i="1"/>
  <c r="J42" i="1" s="1"/>
  <c r="L43" i="1" s="1"/>
  <c r="G44" i="1"/>
  <c r="H43" i="1"/>
  <c r="J43" i="4" l="1"/>
  <c r="G45" i="4"/>
  <c r="I44" i="4"/>
  <c r="H44" i="4"/>
  <c r="K43" i="4"/>
  <c r="L42" i="4"/>
  <c r="I44" i="3"/>
  <c r="K43" i="3"/>
  <c r="L42" i="3"/>
  <c r="G45" i="3"/>
  <c r="H45" i="3" s="1"/>
  <c r="J43" i="3"/>
  <c r="M42" i="1"/>
  <c r="I43" i="1"/>
  <c r="J43" i="1" s="1"/>
  <c r="L44" i="1" s="1"/>
  <c r="G45" i="1"/>
  <c r="H44" i="1"/>
  <c r="L43" i="4" l="1"/>
  <c r="K44" i="4"/>
  <c r="J44" i="4"/>
  <c r="H45" i="4"/>
  <c r="G46" i="4"/>
  <c r="G47" i="4" s="1"/>
  <c r="I45" i="4"/>
  <c r="I45" i="3"/>
  <c r="J44" i="3"/>
  <c r="L43" i="3"/>
  <c r="K44" i="3"/>
  <c r="G46" i="3"/>
  <c r="H46" i="3" s="1"/>
  <c r="M43" i="1"/>
  <c r="I44" i="1"/>
  <c r="J44" i="1" s="1"/>
  <c r="L45" i="1" s="1"/>
  <c r="G46" i="1"/>
  <c r="H45" i="1"/>
  <c r="J45" i="4" l="1"/>
  <c r="I46" i="4"/>
  <c r="H46" i="4"/>
  <c r="L44" i="4"/>
  <c r="K45" i="4"/>
  <c r="I46" i="3"/>
  <c r="L44" i="3"/>
  <c r="K45" i="3"/>
  <c r="G47" i="3"/>
  <c r="H47" i="3" s="1"/>
  <c r="J45" i="3"/>
  <c r="M44" i="1"/>
  <c r="I45" i="1"/>
  <c r="J45" i="1" s="1"/>
  <c r="L46" i="1" s="1"/>
  <c r="G47" i="1"/>
  <c r="H46" i="1"/>
  <c r="K46" i="4" l="1"/>
  <c r="J46" i="4"/>
  <c r="I47" i="4"/>
  <c r="H47" i="4"/>
  <c r="L45" i="4"/>
  <c r="I47" i="3"/>
  <c r="K46" i="3"/>
  <c r="L45" i="3"/>
  <c r="G48" i="3"/>
  <c r="H48" i="3" s="1"/>
  <c r="J46" i="3"/>
  <c r="M45" i="1"/>
  <c r="I46" i="1"/>
  <c r="J46" i="1" s="1"/>
  <c r="L47" i="1" s="1"/>
  <c r="G48" i="1"/>
  <c r="H47" i="1"/>
  <c r="K47" i="4" l="1"/>
  <c r="L46" i="4"/>
  <c r="J47" i="4"/>
  <c r="I48" i="3"/>
  <c r="L46" i="3"/>
  <c r="K47" i="3"/>
  <c r="G49" i="3"/>
  <c r="H49" i="3" s="1"/>
  <c r="J47" i="3"/>
  <c r="M46" i="1"/>
  <c r="I47" i="1"/>
  <c r="J47" i="1" s="1"/>
  <c r="L48" i="1" s="1"/>
  <c r="G49" i="1"/>
  <c r="H48" i="1"/>
  <c r="L47" i="4" l="1"/>
  <c r="L2" i="4" s="1"/>
  <c r="L4" i="4" s="1"/>
  <c r="I49" i="3"/>
  <c r="L47" i="3"/>
  <c r="K48" i="3"/>
  <c r="G50" i="3"/>
  <c r="H50" i="3" s="1"/>
  <c r="J48" i="3"/>
  <c r="M47" i="1"/>
  <c r="I48" i="1"/>
  <c r="J48" i="1" s="1"/>
  <c r="L49" i="1" s="1"/>
  <c r="G50" i="1"/>
  <c r="H49" i="1"/>
  <c r="I50" i="3" l="1"/>
  <c r="K49" i="3"/>
  <c r="L48" i="3"/>
  <c r="G51" i="3"/>
  <c r="H51" i="3" s="1"/>
  <c r="J49" i="3"/>
  <c r="M48" i="1"/>
  <c r="I49" i="1"/>
  <c r="J49" i="1" s="1"/>
  <c r="L50" i="1" s="1"/>
  <c r="G51" i="1"/>
  <c r="H50" i="1"/>
  <c r="G52" i="3" l="1"/>
  <c r="H52" i="3" s="1"/>
  <c r="I51" i="3"/>
  <c r="L49" i="3"/>
  <c r="K50" i="3"/>
  <c r="J50" i="3"/>
  <c r="M49" i="1"/>
  <c r="I50" i="1"/>
  <c r="J50" i="1" s="1"/>
  <c r="L51" i="1" s="1"/>
  <c r="G52" i="1"/>
  <c r="H52" i="1" s="1"/>
  <c r="H51" i="1"/>
  <c r="I52" i="3" l="1"/>
  <c r="J52" i="3" s="1"/>
  <c r="G53" i="3"/>
  <c r="H53" i="3" s="1"/>
  <c r="L50" i="3"/>
  <c r="K51" i="3"/>
  <c r="J51" i="3"/>
  <c r="M50" i="1"/>
  <c r="I52" i="1"/>
  <c r="J52" i="1" s="1"/>
  <c r="I51" i="1"/>
  <c r="J51" i="1" s="1"/>
  <c r="L52" i="1" s="1"/>
  <c r="G54" i="3" l="1"/>
  <c r="H54" i="3" s="1"/>
  <c r="I53" i="3"/>
  <c r="J53" i="3" s="1"/>
  <c r="K52" i="3"/>
  <c r="L51" i="3"/>
  <c r="M51" i="1"/>
  <c r="M52" i="1" s="1"/>
  <c r="M2" i="1" s="1"/>
  <c r="I54" i="3" l="1"/>
  <c r="J54" i="3" s="1"/>
  <c r="P2" i="1"/>
  <c r="M9" i="1" s="1"/>
  <c r="L52" i="3"/>
  <c r="K53" i="3"/>
  <c r="K54" i="3" s="1"/>
  <c r="O2" i="4"/>
  <c r="L5" i="4" s="1"/>
  <c r="E21" i="12" s="1"/>
  <c r="E22" i="12" s="1"/>
  <c r="M4" i="1" l="1"/>
  <c r="C21" i="12"/>
  <c r="C22" i="12" s="1"/>
  <c r="L53" i="3"/>
  <c r="L54" i="3" s="1"/>
  <c r="L2" i="3" s="1"/>
  <c r="L4" i="3" s="1"/>
  <c r="O2" i="3" l="1"/>
  <c r="L5" i="3" s="1"/>
  <c r="D21" i="12" s="1"/>
  <c r="D22" i="12" s="1"/>
</calcChain>
</file>

<file path=xl/sharedStrings.xml><?xml version="1.0" encoding="utf-8"?>
<sst xmlns="http://schemas.openxmlformats.org/spreadsheetml/2006/main" count="291" uniqueCount="135">
  <si>
    <t>Current age (In years)</t>
  </si>
  <si>
    <t>Retirement age (In years)</t>
  </si>
  <si>
    <t>Salary in $</t>
  </si>
  <si>
    <t>Annual Salary growth</t>
  </si>
  <si>
    <t>Contribution rate</t>
  </si>
  <si>
    <t>Employer rate</t>
  </si>
  <si>
    <t>Inflation</t>
  </si>
  <si>
    <t>Years to retire</t>
  </si>
  <si>
    <t>Allocation</t>
  </si>
  <si>
    <t>Return</t>
  </si>
  <si>
    <t>Volatility</t>
  </si>
  <si>
    <t>HarbourSafe</t>
  </si>
  <si>
    <t>Expected Portfolio Return</t>
  </si>
  <si>
    <t>Horizon</t>
  </si>
  <si>
    <t>Expected Volatility</t>
  </si>
  <si>
    <t>SkyHigh</t>
  </si>
  <si>
    <t>Year</t>
  </si>
  <si>
    <t>Age</t>
  </si>
  <si>
    <t>Salary</t>
  </si>
  <si>
    <t>Employee contribution</t>
  </si>
  <si>
    <t>Employer contribution</t>
  </si>
  <si>
    <t>Total Contribution</t>
  </si>
  <si>
    <t>Closing balance (not imp)</t>
  </si>
  <si>
    <t>Investment return</t>
  </si>
  <si>
    <t>Total Balance</t>
  </si>
  <si>
    <t>SD</t>
  </si>
  <si>
    <t>Salary Growth %</t>
  </si>
  <si>
    <t>Simulation</t>
  </si>
  <si>
    <t>Portfolio Return</t>
  </si>
  <si>
    <t>Final Value</t>
  </si>
  <si>
    <t>Final value</t>
  </si>
  <si>
    <t>Lifestyle in Retirement (Annual Expenses at Age 65 in Today's Dollars):</t>
  </si>
  <si>
    <t>Category</t>
  </si>
  <si>
    <t>Monthly (NZD)</t>
  </si>
  <si>
    <t>Annual (NZD)</t>
  </si>
  <si>
    <t>Basic Living Expenses</t>
  </si>
  <si>
    <t>Healthcare</t>
  </si>
  <si>
    <t>Travel &amp; Leisure</t>
  </si>
  <si>
    <t>Miscellaneous/Buffer</t>
  </si>
  <si>
    <t>Total (Today’s Value)</t>
  </si>
  <si>
    <t>Year left for Emily (App)</t>
  </si>
  <si>
    <t>Retirement @65 years</t>
  </si>
  <si>
    <t>(Future Expense = Present Expense × (1 + Inflation) ^ Years_to_Retirement) - based on the concept of compound interest.</t>
  </si>
  <si>
    <t xml:space="preserve">Annuity value   - Req for Corpus </t>
  </si>
  <si>
    <r>
      <t xml:space="preserve">Real return of </t>
    </r>
    <r>
      <rPr>
        <b/>
        <sz val="11"/>
        <color theme="1"/>
        <rFont val="Aptos Narrow"/>
        <family val="2"/>
        <scheme val="minor"/>
      </rPr>
      <t>4.41%</t>
    </r>
  </si>
  <si>
    <t xml:space="preserve">Required Corpus is </t>
  </si>
  <si>
    <t>Final Corpus  Value</t>
  </si>
  <si>
    <t>Mean Corpus Value based on Monte Carlo</t>
  </si>
  <si>
    <t>85 years</t>
  </si>
  <si>
    <t>20 years of retirement</t>
  </si>
  <si>
    <t>inflation</t>
  </si>
  <si>
    <t>Mean</t>
  </si>
  <si>
    <t>Assuming Emily to live till</t>
  </si>
  <si>
    <t>fund in hand</t>
  </si>
  <si>
    <t xml:space="preserve">54000$ with inflation at 2% per year </t>
  </si>
  <si>
    <r>
      <t xml:space="preserve">Emily needs a </t>
    </r>
    <r>
      <rPr>
        <b/>
        <sz val="11"/>
        <color theme="1"/>
        <rFont val="Aptos Narrow"/>
        <family val="2"/>
        <scheme val="minor"/>
      </rPr>
      <t>retirement corpus of approximately NZD 1.1 million</t>
    </r>
    <r>
      <rPr>
        <sz val="11"/>
        <color theme="1"/>
        <rFont val="Aptos Narrow"/>
        <family val="2"/>
        <scheme val="minor"/>
      </rPr>
      <t xml:space="preserve"> at age 65-70 to fund 20 years of retirement with:</t>
    </r>
  </si>
  <si>
    <r>
      <t xml:space="preserve">Annual lifestyle cost of </t>
    </r>
    <r>
      <rPr>
        <b/>
        <sz val="11"/>
        <color theme="1"/>
        <rFont val="Aptos Narrow"/>
        <family val="2"/>
        <scheme val="minor"/>
      </rPr>
      <t>NZD 1.1 MILLION</t>
    </r>
  </si>
  <si>
    <t>~1.5 MILLION</t>
  </si>
  <si>
    <t>(+ 2 years)</t>
  </si>
  <si>
    <t>Mean Annual Salary growth</t>
  </si>
  <si>
    <t>Difference</t>
  </si>
  <si>
    <t>A</t>
  </si>
  <si>
    <t>B</t>
  </si>
  <si>
    <t>C</t>
  </si>
  <si>
    <t>D</t>
  </si>
  <si>
    <t>E</t>
  </si>
  <si>
    <t>F</t>
  </si>
  <si>
    <t>G</t>
  </si>
  <si>
    <t>H</t>
  </si>
  <si>
    <t>Fund</t>
  </si>
  <si>
    <t>Portfolio return</t>
  </si>
  <si>
    <t>Microsoft Excel 16.0 Sensitivity Report</t>
  </si>
  <si>
    <t>Worksheet: [705 Group Assignment - Sensitivity.xlsx]Best Case</t>
  </si>
  <si>
    <t>Variable Cells</t>
  </si>
  <si>
    <t>Cell</t>
  </si>
  <si>
    <t>Name</t>
  </si>
  <si>
    <t>Final</t>
  </si>
  <si>
    <t>Value</t>
  </si>
  <si>
    <t>Reduced</t>
  </si>
  <si>
    <t>Gradient</t>
  </si>
  <si>
    <t>Constraints</t>
  </si>
  <si>
    <t>Lagrange</t>
  </si>
  <si>
    <t>Multiplier</t>
  </si>
  <si>
    <t>$V$5</t>
  </si>
  <si>
    <t>HarbourSafe Allocation</t>
  </si>
  <si>
    <t>$V$6</t>
  </si>
  <si>
    <t>Horizon Allocation</t>
  </si>
  <si>
    <t>$V$7</t>
  </si>
  <si>
    <t>SkyHigh Allocation</t>
  </si>
  <si>
    <t>$V$11</t>
  </si>
  <si>
    <t>Expected Portfolio Return Allocation</t>
  </si>
  <si>
    <t>$V$8</t>
  </si>
  <si>
    <t>Years to retire Allocation</t>
  </si>
  <si>
    <t>Worksheet: [705 Group Assignment - Sensitivity.xlsx]Worst Case</t>
  </si>
  <si>
    <t>Report Created: 31/05/2025 7:34:44 pm</t>
  </si>
  <si>
    <t>Report Created: 31/05/2025 7:37:20 pm</t>
  </si>
  <si>
    <t>Worksheet: [705 Group Assignment - Sensitivity.xlsx]Base Case</t>
  </si>
  <si>
    <t>Report Created: 31/05/2025 7:45:25 pm</t>
  </si>
  <si>
    <t>Base Case</t>
  </si>
  <si>
    <t>Best Case</t>
  </si>
  <si>
    <t>Worst Case</t>
  </si>
  <si>
    <t>Retirement Age</t>
  </si>
  <si>
    <t>65 Years</t>
  </si>
  <si>
    <t>67 Years</t>
  </si>
  <si>
    <t>60 Years</t>
  </si>
  <si>
    <t>Contribution b/w 46 to 60 years</t>
  </si>
  <si>
    <t>Contribution after 60 years</t>
  </si>
  <si>
    <t>Employee Contribution till 45 years</t>
  </si>
  <si>
    <t>Total number of Years as employee</t>
  </si>
  <si>
    <t>35 Years</t>
  </si>
  <si>
    <t>37 Years</t>
  </si>
  <si>
    <t>30 Years</t>
  </si>
  <si>
    <t>Employer Contribution</t>
  </si>
  <si>
    <t>Standard Deviation on Hike</t>
  </si>
  <si>
    <t>Assumed Emily Expenses per annum</t>
  </si>
  <si>
    <t xml:space="preserve">With 2% inflation  -Expense need @ 65 years </t>
  </si>
  <si>
    <t>~ 1.1 Million</t>
  </si>
  <si>
    <t>Annuity Lifestyle Cost - Required Capital</t>
  </si>
  <si>
    <t>~ 1.5 Million</t>
  </si>
  <si>
    <t>Harbour Safe Allocation %</t>
  </si>
  <si>
    <t>Horizon Allocation %</t>
  </si>
  <si>
    <t>SkyHigh Allocation %</t>
  </si>
  <si>
    <t>Expected Portfolio Return % using Solver</t>
  </si>
  <si>
    <t xml:space="preserve">Volatility - Risk </t>
  </si>
  <si>
    <t xml:space="preserve">Simulation Result for Corpus </t>
  </si>
  <si>
    <t>Corpus Shortfall/Surplus</t>
  </si>
  <si>
    <t xml:space="preserve">Superannuation Planning Report for Emily </t>
  </si>
  <si>
    <t>30 years</t>
  </si>
  <si>
    <t>Given</t>
  </si>
  <si>
    <t>Assumption</t>
  </si>
  <si>
    <t>Optimisation 
- Using Solver</t>
  </si>
  <si>
    <t>Monte-Carlo Simulation</t>
  </si>
  <si>
    <t>Scenarios:</t>
  </si>
  <si>
    <t>---- Living Expenses, Health, Leisure, Travel</t>
  </si>
  <si>
    <t>---- Hike is randomized using Norm.Inv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</si>
</sst>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%"/>
  </numFmts>
  <fonts count="16" x14ac:knownFonts="1">
    <font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2EC03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0D0D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CC"/>
        <bgColor indexed="64"/>
      </patternFill>
    </fill>
  </fills>
  <borders count="1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5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10" fontId="2" fillId="0" borderId="0" xfId="0" applyNumberFormat="1" applyFont="1"/>
    <xf numFmtId="9" fontId="2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2" fillId="2" borderId="0" xfId="0" applyFont="1" applyFill="1"/>
    <xf numFmtId="9" fontId="0" fillId="0" borderId="0" xfId="2" applyFont="1"/>
    <xf numFmtId="166" fontId="0" fillId="0" borderId="0" xfId="2" applyNumberFormat="1" applyFont="1"/>
    <xf numFmtId="2" fontId="0" fillId="0" borderId="0" xfId="0" applyNumberFormat="1"/>
    <xf numFmtId="166" fontId="2" fillId="0" borderId="0" xfId="2" applyNumberFormat="1" applyFont="1"/>
    <xf numFmtId="2" fontId="2" fillId="0" borderId="0" xfId="0" applyNumberFormat="1" applyFont="1"/>
    <xf numFmtId="10" fontId="0" fillId="0" borderId="0" xfId="2" applyNumberFormat="1" applyFont="1"/>
    <xf numFmtId="10" fontId="0" fillId="0" borderId="0" xfId="0" applyNumberFormat="1"/>
    <xf numFmtId="166" fontId="0" fillId="0" borderId="0" xfId="0" applyNumberFormat="1"/>
    <xf numFmtId="9" fontId="0" fillId="0" borderId="0" xfId="0" applyNumberFormat="1"/>
    <xf numFmtId="0" fontId="2" fillId="3" borderId="0" xfId="0" applyFont="1" applyFill="1"/>
    <xf numFmtId="0" fontId="3" fillId="4" borderId="0" xfId="0" applyFont="1" applyFill="1"/>
    <xf numFmtId="0" fontId="2" fillId="3" borderId="0" xfId="0" applyFont="1" applyFill="1" applyAlignment="1">
      <alignment wrapText="1"/>
    </xf>
    <xf numFmtId="9" fontId="2" fillId="3" borderId="0" xfId="0" applyNumberFormat="1" applyFont="1" applyFill="1" applyAlignment="1">
      <alignment wrapText="1"/>
    </xf>
    <xf numFmtId="10" fontId="2" fillId="3" borderId="0" xfId="0" applyNumberFormat="1" applyFont="1" applyFill="1" applyAlignment="1">
      <alignment wrapText="1"/>
    </xf>
    <xf numFmtId="10" fontId="5" fillId="0" borderId="0" xfId="0" applyNumberFormat="1" applyFont="1"/>
    <xf numFmtId="0" fontId="3" fillId="0" borderId="0" xfId="0" applyFont="1"/>
    <xf numFmtId="0" fontId="6" fillId="0" borderId="0" xfId="0" applyFont="1"/>
    <xf numFmtId="2" fontId="6" fillId="0" borderId="0" xfId="0" applyNumberFormat="1" applyFont="1"/>
    <xf numFmtId="0" fontId="7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6" fillId="0" borderId="0" xfId="0" applyFont="1" applyAlignment="1">
      <alignment vertical="center" wrapText="1"/>
    </xf>
    <xf numFmtId="3" fontId="6" fillId="0" borderId="0" xfId="0" applyNumberFormat="1" applyFont="1" applyAlignment="1">
      <alignment vertical="center" wrapText="1"/>
    </xf>
    <xf numFmtId="164" fontId="6" fillId="0" borderId="0" xfId="3" applyFont="1"/>
    <xf numFmtId="164" fontId="0" fillId="0" borderId="0" xfId="0" applyNumberFormat="1"/>
    <xf numFmtId="164" fontId="6" fillId="0" borderId="0" xfId="0" applyNumberFormat="1" applyFont="1"/>
    <xf numFmtId="0" fontId="0" fillId="0" borderId="0" xfId="0" applyAlignment="1">
      <alignment horizontal="left" vertical="center" indent="1"/>
    </xf>
    <xf numFmtId="0" fontId="0" fillId="3" borderId="0" xfId="0" applyFill="1"/>
    <xf numFmtId="0" fontId="0" fillId="3" borderId="0" xfId="0" applyFill="1" applyAlignment="1">
      <alignment horizontal="left" vertical="center" indent="1"/>
    </xf>
    <xf numFmtId="164" fontId="6" fillId="3" borderId="0" xfId="0" applyNumberFormat="1" applyFont="1" applyFill="1"/>
    <xf numFmtId="164" fontId="3" fillId="0" borderId="0" xfId="3" applyFont="1"/>
    <xf numFmtId="164" fontId="5" fillId="0" borderId="0" xfId="0" applyNumberFormat="1" applyFont="1"/>
    <xf numFmtId="164" fontId="8" fillId="0" borderId="0" xfId="0" applyNumberFormat="1" applyFont="1"/>
    <xf numFmtId="165" fontId="0" fillId="0" borderId="0" xfId="1" applyFont="1"/>
    <xf numFmtId="0" fontId="0" fillId="0" borderId="3" xfId="0" applyBorder="1"/>
    <xf numFmtId="0" fontId="0" fillId="0" borderId="4" xfId="0" applyBorder="1"/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6" fillId="3" borderId="0" xfId="0" applyFont="1" applyFill="1"/>
    <xf numFmtId="164" fontId="0" fillId="5" borderId="5" xfId="3" applyFont="1" applyFill="1" applyBorder="1"/>
    <xf numFmtId="164" fontId="0" fillId="7" borderId="5" xfId="3" applyFont="1" applyFill="1" applyBorder="1"/>
    <xf numFmtId="0" fontId="0" fillId="7" borderId="5" xfId="0" applyFill="1" applyBorder="1" applyAlignment="1">
      <alignment horizontal="right"/>
    </xf>
    <xf numFmtId="0" fontId="0" fillId="5" borderId="5" xfId="0" applyFill="1" applyBorder="1" applyAlignment="1">
      <alignment horizontal="right"/>
    </xf>
    <xf numFmtId="9" fontId="0" fillId="7" borderId="5" xfId="0" applyNumberFormat="1" applyFill="1" applyBorder="1" applyAlignment="1">
      <alignment horizontal="right"/>
    </xf>
    <xf numFmtId="9" fontId="6" fillId="5" borderId="5" xfId="0" applyNumberFormat="1" applyFont="1" applyFill="1" applyBorder="1" applyAlignment="1">
      <alignment horizontal="right"/>
    </xf>
    <xf numFmtId="9" fontId="0" fillId="5" borderId="5" xfId="0" applyNumberFormat="1" applyFill="1" applyBorder="1" applyAlignment="1">
      <alignment horizontal="right"/>
    </xf>
    <xf numFmtId="10" fontId="0" fillId="7" borderId="5" xfId="0" applyNumberFormat="1" applyFill="1" applyBorder="1" applyAlignment="1">
      <alignment horizontal="right"/>
    </xf>
    <xf numFmtId="10" fontId="0" fillId="5" borderId="5" xfId="0" applyNumberFormat="1" applyFill="1" applyBorder="1" applyAlignment="1">
      <alignment horizontal="right"/>
    </xf>
    <xf numFmtId="166" fontId="0" fillId="7" borderId="5" xfId="2" applyNumberFormat="1" applyFont="1" applyFill="1" applyBorder="1" applyAlignment="1">
      <alignment horizontal="right"/>
    </xf>
    <xf numFmtId="0" fontId="6" fillId="7" borderId="5" xfId="0" applyFont="1" applyFill="1" applyBorder="1" applyAlignment="1">
      <alignment horizontal="right"/>
    </xf>
    <xf numFmtId="0" fontId="6" fillId="5" borderId="5" xfId="0" applyFont="1" applyFill="1" applyBorder="1" applyAlignment="1">
      <alignment horizontal="right"/>
    </xf>
    <xf numFmtId="0" fontId="14" fillId="0" borderId="0" xfId="0" applyFont="1"/>
    <xf numFmtId="0" fontId="0" fillId="3" borderId="11" xfId="0" applyFill="1" applyBorder="1"/>
    <xf numFmtId="0" fontId="6" fillId="7" borderId="11" xfId="0" applyFont="1" applyFill="1" applyBorder="1"/>
    <xf numFmtId="0" fontId="6" fillId="7" borderId="13" xfId="0" applyFont="1" applyFill="1" applyBorder="1"/>
    <xf numFmtId="164" fontId="11" fillId="7" borderId="14" xfId="0" applyNumberFormat="1" applyFont="1" applyFill="1" applyBorder="1"/>
    <xf numFmtId="164" fontId="12" fillId="5" borderId="14" xfId="0" applyNumberFormat="1" applyFont="1" applyFill="1" applyBorder="1"/>
    <xf numFmtId="0" fontId="6" fillId="8" borderId="12" xfId="0" applyFont="1" applyFill="1" applyBorder="1" applyAlignment="1">
      <alignment horizontal="right"/>
    </xf>
    <xf numFmtId="0" fontId="0" fillId="8" borderId="12" xfId="0" applyFill="1" applyBorder="1" applyAlignment="1">
      <alignment horizontal="right"/>
    </xf>
    <xf numFmtId="9" fontId="0" fillId="8" borderId="12" xfId="0" applyNumberFormat="1" applyFill="1" applyBorder="1" applyAlignment="1">
      <alignment horizontal="right"/>
    </xf>
    <xf numFmtId="10" fontId="0" fillId="8" borderId="12" xfId="0" applyNumberFormat="1" applyFill="1" applyBorder="1" applyAlignment="1">
      <alignment horizontal="right"/>
    </xf>
    <xf numFmtId="164" fontId="0" fillId="8" borderId="12" xfId="3" applyFont="1" applyFill="1" applyBorder="1"/>
    <xf numFmtId="164" fontId="11" fillId="8" borderId="15" xfId="0" applyNumberFormat="1" applyFont="1" applyFill="1" applyBorder="1"/>
    <xf numFmtId="0" fontId="2" fillId="7" borderId="10" xfId="0" applyFont="1" applyFill="1" applyBorder="1"/>
    <xf numFmtId="0" fontId="2" fillId="7" borderId="6" xfId="0" applyFont="1" applyFill="1" applyBorder="1" applyAlignment="1">
      <alignment horizontal="right"/>
    </xf>
    <xf numFmtId="0" fontId="0" fillId="7" borderId="6" xfId="0" applyFill="1" applyBorder="1"/>
    <xf numFmtId="0" fontId="0" fillId="7" borderId="7" xfId="0" applyFill="1" applyBorder="1"/>
    <xf numFmtId="0" fontId="2" fillId="7" borderId="11" xfId="0" applyFont="1" applyFill="1" applyBorder="1"/>
    <xf numFmtId="164" fontId="2" fillId="7" borderId="0" xfId="3" applyFont="1" applyFill="1" applyBorder="1"/>
    <xf numFmtId="0" fontId="0" fillId="7" borderId="0" xfId="0" applyFill="1"/>
    <xf numFmtId="0" fontId="0" fillId="7" borderId="9" xfId="0" applyFill="1" applyBorder="1"/>
    <xf numFmtId="10" fontId="2" fillId="7" borderId="0" xfId="0" applyNumberFormat="1" applyFont="1" applyFill="1"/>
    <xf numFmtId="0" fontId="13" fillId="7" borderId="0" xfId="0" quotePrefix="1" applyFont="1" applyFill="1"/>
    <xf numFmtId="9" fontId="2" fillId="7" borderId="0" xfId="0" applyNumberFormat="1" applyFont="1" applyFill="1"/>
    <xf numFmtId="0" fontId="0" fillId="7" borderId="11" xfId="0" applyFill="1" applyBorder="1"/>
    <xf numFmtId="164" fontId="0" fillId="7" borderId="0" xfId="3" applyFont="1" applyFill="1" applyBorder="1"/>
    <xf numFmtId="164" fontId="0" fillId="7" borderId="0" xfId="0" applyNumberFormat="1" applyFill="1"/>
    <xf numFmtId="0" fontId="6" fillId="3" borderId="9" xfId="0" applyFont="1" applyFill="1" applyBorder="1"/>
    <xf numFmtId="0" fontId="6" fillId="7" borderId="8" xfId="0" applyFont="1" applyFill="1" applyBorder="1"/>
    <xf numFmtId="0" fontId="0" fillId="0" borderId="0" xfId="0" applyAlignment="1">
      <alignment vertical="top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10" fillId="6" borderId="7" xfId="0" applyFont="1" applyFill="1" applyBorder="1" applyAlignment="1">
      <alignment horizontal="center"/>
    </xf>
    <xf numFmtId="0" fontId="15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left" vertical="top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CCCC"/>
      <color rgb="FFFF7C80"/>
      <color rgb="FFF5DFF1"/>
      <color rgb="FFFCF6FB"/>
      <color rgb="FFFFCC99"/>
      <color rgb="FFFFF6D9"/>
      <color rgb="FF2EC0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Corpus Shortfall/Surplus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098-4336-8E23-745E9E8A75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098-4336-8E23-745E9E8A75C5}"/>
              </c:ext>
            </c:extLst>
          </c:dPt>
          <c:dPt>
            <c:idx val="2"/>
            <c:invertIfNegative val="0"/>
            <c:bubble3D val="0"/>
            <c:spPr>
              <a:solidFill>
                <a:srgbClr val="FF7C8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098-4336-8E23-745E9E8A75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Dashboard!$C$22:$E$22</c:f>
              <c:numCache>
                <c:formatCode>_-"$"* #,##0.00_-;\-"$"* #,##0.00_-;_-"$"* "-"??_-;_-@_-</c:formatCode>
                <c:ptCount val="3"/>
                <c:pt idx="0">
                  <c:v>-895037.18925682048</c:v>
                </c:pt>
                <c:pt idx="1">
                  <c:v>88196.437371880049</c:v>
                </c:pt>
                <c:pt idx="2">
                  <c:v>-1093717.0481374592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98-4336-8E23-745E9E8A7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117248"/>
        <c:axId val="105118208"/>
      </c:barChart>
      <c:catAx>
        <c:axId val="10511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18208"/>
        <c:crosses val="autoZero"/>
        <c:auto val="1"/>
        <c:lblAlgn val="ctr"/>
        <c:lblOffset val="100"/>
        <c:noMultiLvlLbl val="0"/>
      </c:catAx>
      <c:valAx>
        <c:axId val="105118208"/>
        <c:scaling>
          <c:orientation val="minMax"/>
        </c:scaling>
        <c:delete val="0"/>
        <c:axPos val="l"/>
        <c:numFmt formatCode="_-&quot;$&quot;* #,##0.00_-;\-&quot;$&quot;* #,##0.0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17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Fund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Sheet7!$D$6</c:f>
              <c:strCache>
                <c:ptCount val="1"/>
                <c:pt idx="0">
                  <c:v>Harbour Safe Allocation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Sheet7!$E$5:$G$5</c:f>
              <c:strCache>
                <c:ptCount val="3"/>
                <c:pt idx="0">
                  <c:v>Base Case</c:v>
                </c:pt>
                <c:pt idx="1">
                  <c:v>Best Case</c:v>
                </c:pt>
                <c:pt idx="2">
                  <c:v>Worst Case</c:v>
                </c:pt>
              </c:strCache>
            </c:strRef>
          </c:cat>
          <c:val>
            <c:numRef>
              <c:f>Sheet7!$E$6:$G$6</c:f>
              <c:numCache>
                <c:formatCode>0%</c:formatCode>
                <c:ptCount val="3"/>
                <c:pt idx="0">
                  <c:v>0.4</c:v>
                </c:pt>
                <c:pt idx="1">
                  <c:v>0.1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13-443C-A257-5C9B16EE67D7}"/>
            </c:ext>
          </c:extLst>
        </c:ser>
        <c:ser>
          <c:idx val="1"/>
          <c:order val="1"/>
          <c:tx>
            <c:strRef>
              <c:f>Sheet7!$D$7</c:f>
              <c:strCache>
                <c:ptCount val="1"/>
                <c:pt idx="0">
                  <c:v>Horizon Allocation %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Sheet7!$E$5:$G$5</c:f>
              <c:strCache>
                <c:ptCount val="3"/>
                <c:pt idx="0">
                  <c:v>Base Case</c:v>
                </c:pt>
                <c:pt idx="1">
                  <c:v>Best Case</c:v>
                </c:pt>
                <c:pt idx="2">
                  <c:v>Worst Case</c:v>
                </c:pt>
              </c:strCache>
            </c:strRef>
          </c:cat>
          <c:val>
            <c:numRef>
              <c:f>Sheet7!$E$7:$G$7</c:f>
              <c:numCache>
                <c:formatCode>0%</c:formatCode>
                <c:ptCount val="3"/>
                <c:pt idx="0">
                  <c:v>0.3</c:v>
                </c:pt>
                <c:pt idx="1">
                  <c:v>0.35</c:v>
                </c:pt>
                <c:pt idx="2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13-443C-A257-5C9B16EE67D7}"/>
            </c:ext>
          </c:extLst>
        </c:ser>
        <c:ser>
          <c:idx val="2"/>
          <c:order val="2"/>
          <c:tx>
            <c:strRef>
              <c:f>Sheet7!$D$8</c:f>
              <c:strCache>
                <c:ptCount val="1"/>
                <c:pt idx="0">
                  <c:v>SkyHigh Allocation %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Sheet7!$E$5:$G$5</c:f>
              <c:strCache>
                <c:ptCount val="3"/>
                <c:pt idx="0">
                  <c:v>Base Case</c:v>
                </c:pt>
                <c:pt idx="1">
                  <c:v>Best Case</c:v>
                </c:pt>
                <c:pt idx="2">
                  <c:v>Worst Case</c:v>
                </c:pt>
              </c:strCache>
            </c:strRef>
          </c:cat>
          <c:val>
            <c:numRef>
              <c:f>Sheet7!$E$8:$G$8</c:f>
              <c:numCache>
                <c:formatCode>0%</c:formatCode>
                <c:ptCount val="3"/>
                <c:pt idx="0">
                  <c:v>0.3</c:v>
                </c:pt>
                <c:pt idx="1">
                  <c:v>0.55000000000000004</c:v>
                </c:pt>
                <c:pt idx="2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13-443C-A257-5C9B16EE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812528"/>
        <c:axId val="810816848"/>
      </c:barChart>
      <c:catAx>
        <c:axId val="81081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16848"/>
        <c:crosses val="autoZero"/>
        <c:auto val="1"/>
        <c:lblAlgn val="ctr"/>
        <c:lblOffset val="100"/>
        <c:noMultiLvlLbl val="0"/>
      </c:catAx>
      <c:valAx>
        <c:axId val="81081684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1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Fund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Sheet7!$D$6</c:f>
              <c:strCache>
                <c:ptCount val="1"/>
                <c:pt idx="0">
                  <c:v>Harbour Safe Allocation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Sheet7!$E$5:$G$5</c:f>
              <c:strCache>
                <c:ptCount val="3"/>
                <c:pt idx="0">
                  <c:v>Base Case</c:v>
                </c:pt>
                <c:pt idx="1">
                  <c:v>Best Case</c:v>
                </c:pt>
                <c:pt idx="2">
                  <c:v>Worst Case</c:v>
                </c:pt>
              </c:strCache>
            </c:strRef>
          </c:cat>
          <c:val>
            <c:numRef>
              <c:f>Sheet7!$E$6:$G$6</c:f>
              <c:numCache>
                <c:formatCode>0%</c:formatCode>
                <c:ptCount val="3"/>
                <c:pt idx="0">
                  <c:v>0.4</c:v>
                </c:pt>
                <c:pt idx="1">
                  <c:v>0.1</c:v>
                </c:pt>
                <c:pt idx="2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8F-4982-B25B-484D043EADA4}"/>
            </c:ext>
          </c:extLst>
        </c:ser>
        <c:ser>
          <c:idx val="1"/>
          <c:order val="1"/>
          <c:tx>
            <c:strRef>
              <c:f>Sheet7!$D$7</c:f>
              <c:strCache>
                <c:ptCount val="1"/>
                <c:pt idx="0">
                  <c:v>Horizon Allocation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Sheet7!$E$5:$G$5</c:f>
              <c:strCache>
                <c:ptCount val="3"/>
                <c:pt idx="0">
                  <c:v>Base Case</c:v>
                </c:pt>
                <c:pt idx="1">
                  <c:v>Best Case</c:v>
                </c:pt>
                <c:pt idx="2">
                  <c:v>Worst Case</c:v>
                </c:pt>
              </c:strCache>
            </c:strRef>
          </c:cat>
          <c:val>
            <c:numRef>
              <c:f>Sheet7!$E$7:$G$7</c:f>
              <c:numCache>
                <c:formatCode>0%</c:formatCode>
                <c:ptCount val="3"/>
                <c:pt idx="0">
                  <c:v>0.3</c:v>
                </c:pt>
                <c:pt idx="1">
                  <c:v>0.35</c:v>
                </c:pt>
                <c:pt idx="2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8F-4982-B25B-484D043EADA4}"/>
            </c:ext>
          </c:extLst>
        </c:ser>
        <c:ser>
          <c:idx val="2"/>
          <c:order val="2"/>
          <c:tx>
            <c:strRef>
              <c:f>Sheet7!$D$8</c:f>
              <c:strCache>
                <c:ptCount val="1"/>
                <c:pt idx="0">
                  <c:v>SkyHigh Allocation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Sheet7!$E$5:$G$5</c:f>
              <c:strCache>
                <c:ptCount val="3"/>
                <c:pt idx="0">
                  <c:v>Base Case</c:v>
                </c:pt>
                <c:pt idx="1">
                  <c:v>Best Case</c:v>
                </c:pt>
                <c:pt idx="2">
                  <c:v>Worst Case</c:v>
                </c:pt>
              </c:strCache>
            </c:strRef>
          </c:cat>
          <c:val>
            <c:numRef>
              <c:f>Sheet7!$E$8:$G$8</c:f>
              <c:numCache>
                <c:formatCode>0%</c:formatCode>
                <c:ptCount val="3"/>
                <c:pt idx="0">
                  <c:v>0.3</c:v>
                </c:pt>
                <c:pt idx="1">
                  <c:v>0.55000000000000004</c:v>
                </c:pt>
                <c:pt idx="2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8F-4982-B25B-484D043EA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812528"/>
        <c:axId val="810816848"/>
      </c:barChart>
      <c:catAx>
        <c:axId val="81081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16848"/>
        <c:crosses val="autoZero"/>
        <c:auto val="1"/>
        <c:lblAlgn val="ctr"/>
        <c:lblOffset val="100"/>
        <c:noMultiLvlLbl val="0"/>
      </c:catAx>
      <c:valAx>
        <c:axId val="81081684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1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10</xdr:row>
      <xdr:rowOff>121920</xdr:rowOff>
    </xdr:from>
    <xdr:to>
      <xdr:col>13</xdr:col>
      <xdr:colOff>7620</xdr:colOff>
      <xdr:row>22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763DB8-06D0-49A1-E617-AF8671C8F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601980</xdr:colOff>
      <xdr:row>0</xdr:row>
      <xdr:rowOff>0</xdr:rowOff>
    </xdr:from>
    <xdr:to>
      <xdr:col>13</xdr:col>
      <xdr:colOff>15240</xdr:colOff>
      <xdr:row>10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22D91F-E029-4731-AB8C-4A1D0B63C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396240</xdr:colOff>
      <xdr:row>6</xdr:row>
      <xdr:rowOff>41910</xdr:rowOff>
    </xdr:from>
    <xdr:to>
      <xdr:col>13</xdr:col>
      <xdr:colOff>91440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F6714F-407C-8CF9-3D4A-CDDC9F6DF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212923</xdr:colOff>
      <xdr:row>16</xdr:row>
      <xdr:rowOff>175260</xdr:rowOff>
    </xdr:from>
    <xdr:to>
      <xdr:col>14</xdr:col>
      <xdr:colOff>508590</xdr:colOff>
      <xdr:row>26</xdr:row>
      <xdr:rowOff>177629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9639F-48B5-EB1A-6B6D-E9246EC05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45343" y="4792980"/>
          <a:ext cx="3998140" cy="1831169"/>
        </a:xfrm>
        <a:prstGeom prst="rect">
          <a:avLst/>
        </a:prstGeom>
      </xdr:spPr>
    </xdr:pic>
    <xdr:clientData/>
  </xdr:twoCellAnchor>
  <xdr:twoCellAnchor>
    <xdr:from>
      <xdr:col>7</xdr:col>
      <xdr:colOff>419100</xdr:colOff>
      <xdr:row>18</xdr:row>
      <xdr:rowOff>91440</xdr:rowOff>
    </xdr:from>
    <xdr:to>
      <xdr:col>9</xdr:col>
      <xdr:colOff>434340</xdr:colOff>
      <xdr:row>20</xdr:row>
      <xdr:rowOff>91440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7028424A-38A6-0B98-EC25-DC82E33E0139}"/>
            </a:ext>
          </a:extLst>
        </xdr:cNvPr>
        <xdr:cNvSpPr/>
      </xdr:nvSpPr>
      <xdr:spPr>
        <a:xfrm>
          <a:off x="7132320" y="5074920"/>
          <a:ext cx="1234440" cy="36576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Z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ED4974-BDBC-4186-BA9E-8F739F9B7B65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PtdcMzwiEYaPz2xl0Am0I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48A1-F7E2-4D78-A1C0-0F8EC22FD499}">
  <dimension ref="A1:M23"/>
  <sheetViews>
    <sheetView workbookViewId="0">
      <selection activeCell="D25" sqref="D25"/>
    </sheetView>
  </sheetViews>
  <sheetFormatPr defaultRowHeight="14.25" x14ac:dyDescent="0.45"/>
  <cols>
    <col min="1" max="1" width="22" customWidth="1"/>
    <col min="2" max="2" width="36.53125" customWidth="1"/>
    <col min="3" max="3" width="14.33203125" customWidth="1"/>
    <col min="4" max="4" width="16.53125" customWidth="1"/>
    <col min="5" max="5" width="19.53125" customWidth="1"/>
  </cols>
  <sheetData>
    <row r="1" spans="1:7" ht="21.4" thickBot="1" x14ac:dyDescent="0.7">
      <c r="A1" s="92" t="s">
        <v>126</v>
      </c>
      <c r="B1" s="93"/>
      <c r="C1" s="93"/>
      <c r="D1" s="93"/>
      <c r="E1" s="94"/>
    </row>
    <row r="2" spans="1:7" x14ac:dyDescent="0.45">
      <c r="A2" s="89" t="s">
        <v>128</v>
      </c>
      <c r="B2" s="72" t="s">
        <v>0</v>
      </c>
      <c r="C2" s="73" t="s">
        <v>127</v>
      </c>
      <c r="D2" s="74"/>
      <c r="E2" s="75"/>
    </row>
    <row r="3" spans="1:7" x14ac:dyDescent="0.45">
      <c r="A3" s="89"/>
      <c r="B3" s="76" t="s">
        <v>2</v>
      </c>
      <c r="C3" s="77">
        <v>70000</v>
      </c>
      <c r="D3" s="78"/>
      <c r="E3" s="79"/>
    </row>
    <row r="4" spans="1:7" x14ac:dyDescent="0.45">
      <c r="A4" s="89"/>
      <c r="B4" s="76" t="s">
        <v>59</v>
      </c>
      <c r="C4" s="80">
        <v>3.5000000000000003E-2</v>
      </c>
      <c r="D4" s="78"/>
      <c r="E4" s="79"/>
    </row>
    <row r="5" spans="1:7" x14ac:dyDescent="0.45">
      <c r="A5" s="89"/>
      <c r="B5" s="76" t="s">
        <v>113</v>
      </c>
      <c r="C5" s="80">
        <v>7.0000000000000001E-3</v>
      </c>
      <c r="D5" s="81" t="s">
        <v>134</v>
      </c>
      <c r="E5" s="79"/>
      <c r="G5" s="60"/>
    </row>
    <row r="6" spans="1:7" x14ac:dyDescent="0.45">
      <c r="A6" s="89"/>
      <c r="B6" s="76" t="s">
        <v>112</v>
      </c>
      <c r="C6" s="82">
        <v>0.03</v>
      </c>
      <c r="D6" s="78"/>
      <c r="E6" s="79"/>
    </row>
    <row r="7" spans="1:7" x14ac:dyDescent="0.45">
      <c r="A7" s="89" t="s">
        <v>129</v>
      </c>
      <c r="B7" s="83" t="s">
        <v>114</v>
      </c>
      <c r="C7" s="84">
        <f>'Retirement Capital'!E12</f>
        <v>54000</v>
      </c>
      <c r="D7" s="81" t="s">
        <v>133</v>
      </c>
      <c r="E7" s="79"/>
    </row>
    <row r="8" spans="1:7" x14ac:dyDescent="0.45">
      <c r="A8" s="89"/>
      <c r="B8" s="83" t="s">
        <v>115</v>
      </c>
      <c r="C8" s="85">
        <f ca="1">'Retirement Capital'!E16</f>
        <v>105703.3367587789</v>
      </c>
      <c r="D8" s="81" t="s">
        <v>116</v>
      </c>
      <c r="E8" s="79"/>
    </row>
    <row r="9" spans="1:7" x14ac:dyDescent="0.45">
      <c r="A9" s="89"/>
      <c r="B9" s="61" t="s">
        <v>117</v>
      </c>
      <c r="C9" s="38">
        <f>'Retirement Capital'!E27</f>
        <v>1454757</v>
      </c>
      <c r="D9" s="47" t="s">
        <v>118</v>
      </c>
      <c r="E9" s="86"/>
    </row>
    <row r="10" spans="1:7" x14ac:dyDescent="0.45">
      <c r="A10" s="89"/>
      <c r="B10" s="87" t="s">
        <v>132</v>
      </c>
      <c r="C10" s="58" t="s">
        <v>98</v>
      </c>
      <c r="D10" s="59" t="s">
        <v>99</v>
      </c>
      <c r="E10" s="66" t="s">
        <v>100</v>
      </c>
    </row>
    <row r="11" spans="1:7" x14ac:dyDescent="0.45">
      <c r="A11" s="89"/>
      <c r="B11" s="62" t="s">
        <v>101</v>
      </c>
      <c r="C11" s="50" t="s">
        <v>102</v>
      </c>
      <c r="D11" s="51" t="s">
        <v>103</v>
      </c>
      <c r="E11" s="67" t="s">
        <v>104</v>
      </c>
    </row>
    <row r="12" spans="1:7" x14ac:dyDescent="0.45">
      <c r="A12" s="89"/>
      <c r="B12" s="62" t="s">
        <v>108</v>
      </c>
      <c r="C12" s="50" t="s">
        <v>109</v>
      </c>
      <c r="D12" s="51" t="s">
        <v>110</v>
      </c>
      <c r="E12" s="67" t="s">
        <v>111</v>
      </c>
    </row>
    <row r="13" spans="1:7" x14ac:dyDescent="0.45">
      <c r="A13" s="89"/>
      <c r="B13" s="62" t="s">
        <v>107</v>
      </c>
      <c r="C13" s="52">
        <v>0.03</v>
      </c>
      <c r="D13" s="53">
        <v>0.1</v>
      </c>
      <c r="E13" s="68">
        <v>0.03</v>
      </c>
    </row>
    <row r="14" spans="1:7" x14ac:dyDescent="0.45">
      <c r="A14" s="89"/>
      <c r="B14" s="62" t="s">
        <v>105</v>
      </c>
      <c r="C14" s="52">
        <v>0.03</v>
      </c>
      <c r="D14" s="53">
        <v>0.06</v>
      </c>
      <c r="E14" s="68">
        <v>0.03</v>
      </c>
    </row>
    <row r="15" spans="1:7" x14ac:dyDescent="0.45">
      <c r="A15" s="89"/>
      <c r="B15" s="62" t="s">
        <v>106</v>
      </c>
      <c r="C15" s="52">
        <v>0.03</v>
      </c>
      <c r="D15" s="53">
        <v>0.03</v>
      </c>
      <c r="E15" s="68">
        <v>0.03</v>
      </c>
    </row>
    <row r="16" spans="1:7" x14ac:dyDescent="0.45">
      <c r="A16" s="90" t="s">
        <v>130</v>
      </c>
      <c r="B16" s="62" t="s">
        <v>119</v>
      </c>
      <c r="C16" s="52">
        <f>'Base Case'!D11</f>
        <v>0.4</v>
      </c>
      <c r="D16" s="54">
        <f>'Best Case'!D11</f>
        <v>0.1</v>
      </c>
      <c r="E16" s="68">
        <f>'Worst Case'!D11</f>
        <v>0.8</v>
      </c>
    </row>
    <row r="17" spans="1:13" x14ac:dyDescent="0.45">
      <c r="A17" s="89"/>
      <c r="B17" s="62" t="s">
        <v>120</v>
      </c>
      <c r="C17" s="52">
        <f>'Base Case'!D12</f>
        <v>0.3</v>
      </c>
      <c r="D17" s="54">
        <f>'Best Case'!D12</f>
        <v>0.35</v>
      </c>
      <c r="E17" s="68">
        <f>'Worst Case'!D12</f>
        <v>0.1</v>
      </c>
    </row>
    <row r="18" spans="1:13" x14ac:dyDescent="0.45">
      <c r="A18" s="89"/>
      <c r="B18" s="62" t="s">
        <v>121</v>
      </c>
      <c r="C18" s="52">
        <f>'Base Case'!D13</f>
        <v>0.3</v>
      </c>
      <c r="D18" s="54">
        <f>'Best Case'!D13</f>
        <v>0.55000000000000004</v>
      </c>
      <c r="E18" s="68">
        <f>'Worst Case'!D13</f>
        <v>0.1</v>
      </c>
    </row>
    <row r="19" spans="1:13" x14ac:dyDescent="0.45">
      <c r="A19" s="89"/>
      <c r="B19" s="62" t="s">
        <v>122</v>
      </c>
      <c r="C19" s="55">
        <f>'Base Case'!V9</f>
        <v>6.5250000000000002E-2</v>
      </c>
      <c r="D19" s="56">
        <f>'Best Case'!V9</f>
        <v>8.2874903744088485E-2</v>
      </c>
      <c r="E19" s="69">
        <f>'Worst Case'!V9</f>
        <v>4.6750037499999994E-2</v>
      </c>
    </row>
    <row r="20" spans="1:13" x14ac:dyDescent="0.45">
      <c r="A20" s="89"/>
      <c r="B20" s="62" t="s">
        <v>123</v>
      </c>
      <c r="C20" s="57">
        <f>'Base Case'!V11</f>
        <v>7.2576253003306807E-2</v>
      </c>
      <c r="D20" s="54">
        <f>'Best Case'!V11</f>
        <v>0.11999990152167184</v>
      </c>
      <c r="E20" s="69">
        <f>'Worst Case'!V11</f>
        <v>7.1250049999999995E-2</v>
      </c>
    </row>
    <row r="21" spans="1:13" x14ac:dyDescent="0.45">
      <c r="A21" s="89" t="s">
        <v>131</v>
      </c>
      <c r="B21" s="62" t="s">
        <v>124</v>
      </c>
      <c r="C21" s="49">
        <f ca="1">'Base Case'!M9</f>
        <v>559719.81074317952</v>
      </c>
      <c r="D21" s="48">
        <f ca="1">'Best Case'!L5</f>
        <v>1542953.43737188</v>
      </c>
      <c r="E21" s="70">
        <f ca="1">'Worst Case'!L5</f>
        <v>361039.95186254074</v>
      </c>
    </row>
    <row r="22" spans="1:13" ht="14.65" thickBot="1" x14ac:dyDescent="0.5">
      <c r="A22" s="91"/>
      <c r="B22" s="63" t="s">
        <v>125</v>
      </c>
      <c r="C22" s="64">
        <f ca="1">C21-C9</f>
        <v>-895037.18925682048</v>
      </c>
      <c r="D22" s="65">
        <f ca="1">D21-C9</f>
        <v>88196.437371880049</v>
      </c>
      <c r="E22" s="71">
        <f ca="1">E21-C9</f>
        <v>-1093717.0481374592</v>
      </c>
    </row>
    <row r="23" spans="1:13" x14ac:dyDescent="0.45">
      <c r="I23" t="s">
        <v>98</v>
      </c>
      <c r="K23" t="s">
        <v>99</v>
      </c>
      <c r="M23" t="s">
        <v>100</v>
      </c>
    </row>
  </sheetData>
  <mergeCells count="5">
    <mergeCell ref="A2:A6"/>
    <mergeCell ref="A7:A15"/>
    <mergeCell ref="A16:A20"/>
    <mergeCell ref="A21:A22"/>
    <mergeCell ref="A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7F9F1-7C4B-4EE0-8CC7-AAC8064C4268}">
  <dimension ref="D5:G8"/>
  <sheetViews>
    <sheetView workbookViewId="0">
      <selection activeCell="D5" sqref="D5:G8"/>
    </sheetView>
  </sheetViews>
  <sheetFormatPr defaultRowHeight="14.25" x14ac:dyDescent="0.45"/>
  <sheetData>
    <row r="5" spans="4:7" x14ac:dyDescent="0.45">
      <c r="D5" t="s">
        <v>69</v>
      </c>
      <c r="E5" s="58" t="s">
        <v>98</v>
      </c>
      <c r="F5" s="59" t="s">
        <v>99</v>
      </c>
      <c r="G5" s="66" t="s">
        <v>100</v>
      </c>
    </row>
    <row r="6" spans="4:7" x14ac:dyDescent="0.45">
      <c r="D6" s="62" t="s">
        <v>119</v>
      </c>
      <c r="E6" s="52">
        <v>0.4</v>
      </c>
      <c r="F6" s="54">
        <v>0.1</v>
      </c>
      <c r="G6" s="68">
        <v>0.8</v>
      </c>
    </row>
    <row r="7" spans="4:7" x14ac:dyDescent="0.45">
      <c r="D7" s="62" t="s">
        <v>120</v>
      </c>
      <c r="E7" s="52">
        <v>0.3</v>
      </c>
      <c r="F7" s="54">
        <v>0.35</v>
      </c>
      <c r="G7" s="68">
        <v>0.1</v>
      </c>
    </row>
    <row r="8" spans="4:7" x14ac:dyDescent="0.45">
      <c r="D8" s="62" t="s">
        <v>121</v>
      </c>
      <c r="E8" s="52">
        <v>0.3</v>
      </c>
      <c r="F8" s="54">
        <v>0.55000000000000004</v>
      </c>
      <c r="G8" s="68">
        <v>0.1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B4907-A010-4098-8131-E1E7C71E4A59}">
  <dimension ref="C5:U1012"/>
  <sheetViews>
    <sheetView topLeftCell="A4" zoomScale="90" zoomScaleNormal="90" zoomScaleSheetLayoutView="100" workbookViewId="0">
      <selection activeCell="A8" sqref="A8"/>
    </sheetView>
  </sheetViews>
  <sheetFormatPr defaultRowHeight="14.25" x14ac:dyDescent="0.45"/>
  <cols>
    <col min="3" max="3" width="30.53125" customWidth="1"/>
    <col min="5" max="5" width="22.86328125" customWidth="1"/>
    <col min="13" max="13" width="18.33203125" customWidth="1"/>
    <col min="18" max="18" width="10.19921875" bestFit="1" customWidth="1"/>
  </cols>
  <sheetData>
    <row r="5" spans="3:21" ht="17.649999999999999" x14ac:dyDescent="0.45">
      <c r="C5" s="26" t="s">
        <v>31</v>
      </c>
      <c r="S5" t="s">
        <v>50</v>
      </c>
      <c r="T5" s="16">
        <v>0.02</v>
      </c>
    </row>
    <row r="6" spans="3:21" x14ac:dyDescent="0.45">
      <c r="S6" t="s">
        <v>51</v>
      </c>
      <c r="T6">
        <v>0.02</v>
      </c>
    </row>
    <row r="7" spans="3:21" ht="28.5" x14ac:dyDescent="0.45">
      <c r="C7" s="27" t="s">
        <v>32</v>
      </c>
      <c r="D7" s="27" t="s">
        <v>33</v>
      </c>
      <c r="E7" s="27" t="s">
        <v>34</v>
      </c>
      <c r="S7" t="s">
        <v>25</v>
      </c>
      <c r="T7">
        <v>0.01</v>
      </c>
    </row>
    <row r="8" spans="3:21" x14ac:dyDescent="0.45">
      <c r="C8" s="28" t="s">
        <v>35</v>
      </c>
      <c r="D8" s="29">
        <v>2500</v>
      </c>
      <c r="E8" s="29">
        <f>D8*12</f>
        <v>30000</v>
      </c>
      <c r="H8" t="s">
        <v>53</v>
      </c>
      <c r="I8">
        <v>16000</v>
      </c>
      <c r="M8">
        <f>(1+0.0441)^-20</f>
        <v>0.42185003041198982</v>
      </c>
      <c r="O8">
        <v>4.41E-2</v>
      </c>
    </row>
    <row r="9" spans="3:21" x14ac:dyDescent="0.45">
      <c r="C9" s="28" t="s">
        <v>36</v>
      </c>
      <c r="D9" s="28">
        <v>500</v>
      </c>
      <c r="E9" s="29">
        <f t="shared" ref="E9:E11" si="0">D9*12</f>
        <v>6000</v>
      </c>
      <c r="M9">
        <f>M8/O8</f>
        <v>9.56576032680249</v>
      </c>
      <c r="S9" s="13">
        <f ca="1">_xlfn.NORM.INV(RAND(),T6,T7)</f>
        <v>2.4784850250550595E-2</v>
      </c>
    </row>
    <row r="10" spans="3:21" x14ac:dyDescent="0.45">
      <c r="C10" s="28" t="s">
        <v>37</v>
      </c>
      <c r="D10" s="29">
        <v>1000</v>
      </c>
      <c r="E10" s="29">
        <f t="shared" si="0"/>
        <v>12000</v>
      </c>
      <c r="M10" s="33">
        <f ca="1">M9*E16</f>
        <v>1011132.7851777704</v>
      </c>
    </row>
    <row r="11" spans="3:21" x14ac:dyDescent="0.45">
      <c r="C11" s="28" t="s">
        <v>38</v>
      </c>
      <c r="D11" s="28">
        <v>500</v>
      </c>
      <c r="E11" s="29">
        <f t="shared" si="0"/>
        <v>6000</v>
      </c>
    </row>
    <row r="12" spans="3:21" x14ac:dyDescent="0.45">
      <c r="C12" s="30" t="s">
        <v>39</v>
      </c>
      <c r="D12" s="31">
        <f>SUM(D8:D11)</f>
        <v>4500</v>
      </c>
      <c r="E12" s="31">
        <f>SUM(E8:E11)</f>
        <v>54000</v>
      </c>
      <c r="R12" t="s">
        <v>27</v>
      </c>
      <c r="S12" t="s">
        <v>6</v>
      </c>
    </row>
    <row r="13" spans="3:21" x14ac:dyDescent="0.45">
      <c r="R13">
        <v>1</v>
      </c>
      <c r="S13" s="14">
        <f ca="1">S9</f>
        <v>2.4784850250550595E-2</v>
      </c>
    </row>
    <row r="14" spans="3:21" x14ac:dyDescent="0.45">
      <c r="C14" s="28" t="s">
        <v>52</v>
      </c>
      <c r="E14" t="s">
        <v>48</v>
      </c>
      <c r="F14">
        <v>55</v>
      </c>
      <c r="G14" t="s">
        <v>40</v>
      </c>
      <c r="R14">
        <v>2</v>
      </c>
      <c r="S14" s="13">
        <f t="dataTable" ref="S14:S1012" dt2D="0" dtr="0" r1="V12" ca="1"/>
        <v>2.6512912351828333E-2</v>
      </c>
      <c r="U14" s="14">
        <f ca="1">AVERAGE(S13:S1012)</f>
        <v>1.9375381836221509E-2</v>
      </c>
    </row>
    <row r="15" spans="3:21" x14ac:dyDescent="0.45">
      <c r="C15" s="28" t="s">
        <v>41</v>
      </c>
      <c r="E15" t="s">
        <v>49</v>
      </c>
      <c r="R15">
        <v>3</v>
      </c>
      <c r="S15" s="13">
        <v>1.9112429758916021E-2</v>
      </c>
    </row>
    <row r="16" spans="3:21" x14ac:dyDescent="0.45">
      <c r="C16" s="24" t="s">
        <v>54</v>
      </c>
      <c r="D16" s="24"/>
      <c r="E16" s="32">
        <f ca="1">E12*(1+U14)^35</f>
        <v>105703.3367587789</v>
      </c>
      <c r="G16" t="s">
        <v>42</v>
      </c>
      <c r="R16">
        <v>4</v>
      </c>
      <c r="S16" s="13">
        <v>2.1028211071375723E-2</v>
      </c>
    </row>
    <row r="17" spans="3:19" x14ac:dyDescent="0.45">
      <c r="R17">
        <v>5</v>
      </c>
      <c r="S17" s="13">
        <v>2.2022397944830994E-2</v>
      </c>
    </row>
    <row r="18" spans="3:19" x14ac:dyDescent="0.45">
      <c r="E18" s="33"/>
      <c r="R18">
        <v>6</v>
      </c>
      <c r="S18" s="13">
        <v>1.2934219755772192E-2</v>
      </c>
    </row>
    <row r="19" spans="3:19" x14ac:dyDescent="0.45">
      <c r="R19">
        <v>7</v>
      </c>
      <c r="S19" s="13">
        <v>8.4633768551383316E-3</v>
      </c>
    </row>
    <row r="20" spans="3:19" x14ac:dyDescent="0.45">
      <c r="C20" t="s">
        <v>43</v>
      </c>
      <c r="E20" s="34"/>
      <c r="F20" s="36"/>
      <c r="G20" s="36"/>
      <c r="H20" s="36"/>
      <c r="I20" s="36"/>
      <c r="R20">
        <v>8</v>
      </c>
      <c r="S20" s="13">
        <v>2.4240007566846977E-2</v>
      </c>
    </row>
    <row r="21" spans="3:19" x14ac:dyDescent="0.45">
      <c r="R21">
        <v>9</v>
      </c>
      <c r="S21" s="13">
        <v>2.8755803969587768E-2</v>
      </c>
    </row>
    <row r="22" spans="3:19" x14ac:dyDescent="0.45">
      <c r="R22">
        <v>10</v>
      </c>
      <c r="S22" s="13">
        <v>3.0322386891886211E-2</v>
      </c>
    </row>
    <row r="23" spans="3:19" x14ac:dyDescent="0.45">
      <c r="C23" t="s">
        <v>55</v>
      </c>
      <c r="R23">
        <v>11</v>
      </c>
      <c r="S23" s="13">
        <v>2.0697885623608893E-2</v>
      </c>
    </row>
    <row r="24" spans="3:19" x14ac:dyDescent="0.45">
      <c r="C24" s="35"/>
      <c r="R24">
        <v>12</v>
      </c>
      <c r="S24" s="13">
        <v>1.2904672049970742E-2</v>
      </c>
    </row>
    <row r="25" spans="3:19" x14ac:dyDescent="0.45">
      <c r="C25" s="35" t="s">
        <v>44</v>
      </c>
      <c r="R25">
        <v>13</v>
      </c>
      <c r="S25" s="13">
        <v>5.7622898306401646E-3</v>
      </c>
    </row>
    <row r="26" spans="3:19" x14ac:dyDescent="0.45">
      <c r="C26" s="35" t="s">
        <v>56</v>
      </c>
      <c r="R26">
        <v>14</v>
      </c>
      <c r="S26" s="13">
        <v>3.3440073921589437E-2</v>
      </c>
    </row>
    <row r="27" spans="3:19" x14ac:dyDescent="0.45">
      <c r="C27" s="37" t="s">
        <v>45</v>
      </c>
      <c r="D27" s="36"/>
      <c r="E27" s="38">
        <v>1454757</v>
      </c>
      <c r="F27" t="s">
        <v>57</v>
      </c>
      <c r="R27">
        <v>15</v>
      </c>
      <c r="S27" s="13">
        <v>1.8348970445459904E-3</v>
      </c>
    </row>
    <row r="28" spans="3:19" x14ac:dyDescent="0.45">
      <c r="R28">
        <v>16</v>
      </c>
      <c r="S28" s="13">
        <v>1.7542703447149071E-2</v>
      </c>
    </row>
    <row r="29" spans="3:19" x14ac:dyDescent="0.45">
      <c r="R29">
        <v>17</v>
      </c>
      <c r="S29" s="13">
        <v>3.0215749589370192E-2</v>
      </c>
    </row>
    <row r="30" spans="3:19" x14ac:dyDescent="0.45">
      <c r="R30">
        <v>18</v>
      </c>
      <c r="S30" s="13">
        <v>3.9448274895323598E-2</v>
      </c>
    </row>
    <row r="31" spans="3:19" x14ac:dyDescent="0.45">
      <c r="R31">
        <v>19</v>
      </c>
      <c r="S31" s="13">
        <v>1.5213646178625249E-2</v>
      </c>
    </row>
    <row r="32" spans="3:19" x14ac:dyDescent="0.45">
      <c r="R32">
        <v>20</v>
      </c>
      <c r="S32" s="13">
        <v>3.1502512751031234E-2</v>
      </c>
    </row>
    <row r="33" spans="18:19" x14ac:dyDescent="0.45">
      <c r="R33">
        <v>21</v>
      </c>
      <c r="S33" s="13">
        <v>2.992850573899207E-2</v>
      </c>
    </row>
    <row r="34" spans="18:19" x14ac:dyDescent="0.45">
      <c r="R34">
        <v>22</v>
      </c>
      <c r="S34" s="13">
        <v>2.7831975971029807E-2</v>
      </c>
    </row>
    <row r="35" spans="18:19" x14ac:dyDescent="0.45">
      <c r="R35">
        <v>23</v>
      </c>
      <c r="S35" s="13">
        <v>2.4889082235092123E-2</v>
      </c>
    </row>
    <row r="36" spans="18:19" x14ac:dyDescent="0.45">
      <c r="R36">
        <v>24</v>
      </c>
      <c r="S36" s="13">
        <v>2.9783629313178621E-2</v>
      </c>
    </row>
    <row r="37" spans="18:19" x14ac:dyDescent="0.45">
      <c r="R37">
        <v>25</v>
      </c>
      <c r="S37" s="13">
        <v>1.4757277884001217E-2</v>
      </c>
    </row>
    <row r="38" spans="18:19" x14ac:dyDescent="0.45">
      <c r="R38">
        <v>26</v>
      </c>
      <c r="S38" s="13">
        <v>1.4436524720238205E-2</v>
      </c>
    </row>
    <row r="39" spans="18:19" x14ac:dyDescent="0.45">
      <c r="R39">
        <v>27</v>
      </c>
      <c r="S39" s="13">
        <v>9.0818302406893234E-3</v>
      </c>
    </row>
    <row r="40" spans="18:19" x14ac:dyDescent="0.45">
      <c r="R40">
        <v>28</v>
      </c>
      <c r="S40" s="13">
        <v>1.740140059349474E-2</v>
      </c>
    </row>
    <row r="41" spans="18:19" x14ac:dyDescent="0.45">
      <c r="R41">
        <v>29</v>
      </c>
      <c r="S41" s="13">
        <v>1.4108393349121322E-2</v>
      </c>
    </row>
    <row r="42" spans="18:19" x14ac:dyDescent="0.45">
      <c r="R42">
        <v>30</v>
      </c>
      <c r="S42" s="13">
        <v>1.0619619424368613E-2</v>
      </c>
    </row>
    <row r="43" spans="18:19" x14ac:dyDescent="0.45">
      <c r="R43">
        <v>31</v>
      </c>
      <c r="S43" s="13">
        <v>1.4504752100842962E-2</v>
      </c>
    </row>
    <row r="44" spans="18:19" x14ac:dyDescent="0.45">
      <c r="R44">
        <v>32</v>
      </c>
      <c r="S44" s="13">
        <v>3.2114182522162318E-2</v>
      </c>
    </row>
    <row r="45" spans="18:19" x14ac:dyDescent="0.45">
      <c r="R45">
        <v>33</v>
      </c>
      <c r="S45" s="13">
        <v>1.8242887133720558E-2</v>
      </c>
    </row>
    <row r="46" spans="18:19" x14ac:dyDescent="0.45">
      <c r="R46">
        <v>34</v>
      </c>
      <c r="S46" s="13">
        <v>1.3006676489916465E-2</v>
      </c>
    </row>
    <row r="47" spans="18:19" x14ac:dyDescent="0.45">
      <c r="R47">
        <v>35</v>
      </c>
      <c r="S47" s="13">
        <v>7.7567675197747227E-3</v>
      </c>
    </row>
    <row r="48" spans="18:19" x14ac:dyDescent="0.45">
      <c r="R48">
        <v>36</v>
      </c>
      <c r="S48" s="13">
        <v>5.1209946252785271E-3</v>
      </c>
    </row>
    <row r="49" spans="18:19" x14ac:dyDescent="0.45">
      <c r="R49">
        <v>37</v>
      </c>
      <c r="S49" s="13">
        <v>1.2479095201065157E-2</v>
      </c>
    </row>
    <row r="50" spans="18:19" x14ac:dyDescent="0.45">
      <c r="R50">
        <v>38</v>
      </c>
      <c r="S50" s="13">
        <v>1.7801714850619151E-2</v>
      </c>
    </row>
    <row r="51" spans="18:19" x14ac:dyDescent="0.45">
      <c r="R51">
        <v>39</v>
      </c>
      <c r="S51" s="13">
        <v>6.792992653005361E-3</v>
      </c>
    </row>
    <row r="52" spans="18:19" x14ac:dyDescent="0.45">
      <c r="R52">
        <v>40</v>
      </c>
      <c r="S52" s="13">
        <v>3.0354774444498297E-2</v>
      </c>
    </row>
    <row r="53" spans="18:19" x14ac:dyDescent="0.45">
      <c r="R53">
        <v>41</v>
      </c>
      <c r="S53" s="13">
        <v>1.9553697147486036E-2</v>
      </c>
    </row>
    <row r="54" spans="18:19" x14ac:dyDescent="0.45">
      <c r="R54">
        <v>42</v>
      </c>
      <c r="S54" s="13">
        <v>2.0713949432775141E-2</v>
      </c>
    </row>
    <row r="55" spans="18:19" x14ac:dyDescent="0.45">
      <c r="R55">
        <v>43</v>
      </c>
      <c r="S55" s="13">
        <v>1.5005107377798602E-2</v>
      </c>
    </row>
    <row r="56" spans="18:19" x14ac:dyDescent="0.45">
      <c r="R56">
        <v>44</v>
      </c>
      <c r="S56" s="13">
        <v>1.5716168352860747E-2</v>
      </c>
    </row>
    <row r="57" spans="18:19" x14ac:dyDescent="0.45">
      <c r="R57">
        <v>45</v>
      </c>
      <c r="S57" s="13">
        <v>3.3006619667952472E-2</v>
      </c>
    </row>
    <row r="58" spans="18:19" x14ac:dyDescent="0.45">
      <c r="R58">
        <v>46</v>
      </c>
      <c r="S58" s="13">
        <v>1.9397519266477408E-2</v>
      </c>
    </row>
    <row r="59" spans="18:19" x14ac:dyDescent="0.45">
      <c r="R59">
        <v>47</v>
      </c>
      <c r="S59" s="13">
        <v>2.5942442485138391E-2</v>
      </c>
    </row>
    <row r="60" spans="18:19" x14ac:dyDescent="0.45">
      <c r="R60">
        <v>48</v>
      </c>
      <c r="S60" s="13">
        <v>9.7512457437890204E-3</v>
      </c>
    </row>
    <row r="61" spans="18:19" x14ac:dyDescent="0.45">
      <c r="R61">
        <v>49</v>
      </c>
      <c r="S61" s="13">
        <v>2.4774661308185876E-2</v>
      </c>
    </row>
    <row r="62" spans="18:19" x14ac:dyDescent="0.45">
      <c r="R62">
        <v>50</v>
      </c>
      <c r="S62" s="13">
        <v>2.6777542896681127E-2</v>
      </c>
    </row>
    <row r="63" spans="18:19" x14ac:dyDescent="0.45">
      <c r="R63">
        <v>51</v>
      </c>
      <c r="S63" s="13">
        <v>1.4022655037151773E-2</v>
      </c>
    </row>
    <row r="64" spans="18:19" x14ac:dyDescent="0.45">
      <c r="R64">
        <v>52</v>
      </c>
      <c r="S64" s="13">
        <v>2.2893003458368678E-2</v>
      </c>
    </row>
    <row r="65" spans="18:19" x14ac:dyDescent="0.45">
      <c r="R65">
        <v>53</v>
      </c>
      <c r="S65" s="13">
        <v>3.6575867493548159E-2</v>
      </c>
    </row>
    <row r="66" spans="18:19" x14ac:dyDescent="0.45">
      <c r="R66">
        <v>54</v>
      </c>
      <c r="S66" s="13">
        <v>2.0221885460205639E-2</v>
      </c>
    </row>
    <row r="67" spans="18:19" x14ac:dyDescent="0.45">
      <c r="R67">
        <v>55</v>
      </c>
      <c r="S67" s="13">
        <v>1.4511544757429138E-2</v>
      </c>
    </row>
    <row r="68" spans="18:19" x14ac:dyDescent="0.45">
      <c r="R68">
        <v>56</v>
      </c>
      <c r="S68" s="13">
        <v>3.4016950343137876E-2</v>
      </c>
    </row>
    <row r="69" spans="18:19" x14ac:dyDescent="0.45">
      <c r="R69">
        <v>57</v>
      </c>
      <c r="S69" s="13">
        <v>4.0581368831139129E-2</v>
      </c>
    </row>
    <row r="70" spans="18:19" x14ac:dyDescent="0.45">
      <c r="R70">
        <v>58</v>
      </c>
      <c r="S70" s="13">
        <v>3.0483295685960102E-2</v>
      </c>
    </row>
    <row r="71" spans="18:19" x14ac:dyDescent="0.45">
      <c r="R71">
        <v>59</v>
      </c>
      <c r="S71" s="13">
        <v>2.8310272215791375E-2</v>
      </c>
    </row>
    <row r="72" spans="18:19" x14ac:dyDescent="0.45">
      <c r="R72">
        <v>60</v>
      </c>
      <c r="S72" s="13">
        <v>8.8647444899496684E-3</v>
      </c>
    </row>
    <row r="73" spans="18:19" x14ac:dyDescent="0.45">
      <c r="R73">
        <v>61</v>
      </c>
      <c r="S73" s="13">
        <v>2.4831360765227524E-2</v>
      </c>
    </row>
    <row r="74" spans="18:19" x14ac:dyDescent="0.45">
      <c r="R74">
        <v>62</v>
      </c>
      <c r="S74" s="13">
        <v>2.4649751276117987E-2</v>
      </c>
    </row>
    <row r="75" spans="18:19" x14ac:dyDescent="0.45">
      <c r="R75">
        <v>63</v>
      </c>
      <c r="S75" s="13">
        <v>3.3192538817779796E-2</v>
      </c>
    </row>
    <row r="76" spans="18:19" x14ac:dyDescent="0.45">
      <c r="R76">
        <v>64</v>
      </c>
      <c r="S76" s="13">
        <v>1.264435461615751E-2</v>
      </c>
    </row>
    <row r="77" spans="18:19" x14ac:dyDescent="0.45">
      <c r="R77">
        <v>65</v>
      </c>
      <c r="S77" s="13">
        <v>1.4365653002792687E-2</v>
      </c>
    </row>
    <row r="78" spans="18:19" x14ac:dyDescent="0.45">
      <c r="R78">
        <v>66</v>
      </c>
      <c r="S78" s="13">
        <v>2.4303697965413481E-2</v>
      </c>
    </row>
    <row r="79" spans="18:19" x14ac:dyDescent="0.45">
      <c r="R79">
        <v>67</v>
      </c>
      <c r="S79" s="13">
        <v>2.0166482703045351E-3</v>
      </c>
    </row>
    <row r="80" spans="18:19" x14ac:dyDescent="0.45">
      <c r="R80">
        <v>68</v>
      </c>
      <c r="S80" s="13">
        <v>1.4790513753340194E-2</v>
      </c>
    </row>
    <row r="81" spans="18:19" x14ac:dyDescent="0.45">
      <c r="R81">
        <v>69</v>
      </c>
      <c r="S81" s="13">
        <v>2.2069382526144078E-2</v>
      </c>
    </row>
    <row r="82" spans="18:19" x14ac:dyDescent="0.45">
      <c r="R82">
        <v>70</v>
      </c>
      <c r="S82" s="13">
        <v>2.2165468733253414E-2</v>
      </c>
    </row>
    <row r="83" spans="18:19" x14ac:dyDescent="0.45">
      <c r="R83">
        <v>71</v>
      </c>
      <c r="S83" s="13">
        <v>2.9321904732680062E-2</v>
      </c>
    </row>
    <row r="84" spans="18:19" x14ac:dyDescent="0.45">
      <c r="R84">
        <v>72</v>
      </c>
      <c r="S84" s="13">
        <v>2.249115602850003E-2</v>
      </c>
    </row>
    <row r="85" spans="18:19" x14ac:dyDescent="0.45">
      <c r="R85">
        <v>73</v>
      </c>
      <c r="S85" s="13">
        <v>2.0623377424946944E-2</v>
      </c>
    </row>
    <row r="86" spans="18:19" x14ac:dyDescent="0.45">
      <c r="R86">
        <v>74</v>
      </c>
      <c r="S86" s="13">
        <v>1.7797913326706338E-2</v>
      </c>
    </row>
    <row r="87" spans="18:19" x14ac:dyDescent="0.45">
      <c r="R87">
        <v>75</v>
      </c>
      <c r="S87" s="13">
        <v>1.2543129004683951E-2</v>
      </c>
    </row>
    <row r="88" spans="18:19" x14ac:dyDescent="0.45">
      <c r="R88">
        <v>76</v>
      </c>
      <c r="S88" s="13">
        <v>1.7232171934423616E-2</v>
      </c>
    </row>
    <row r="89" spans="18:19" x14ac:dyDescent="0.45">
      <c r="R89">
        <v>77</v>
      </c>
      <c r="S89" s="13">
        <v>1.3838293486021617E-2</v>
      </c>
    </row>
    <row r="90" spans="18:19" x14ac:dyDescent="0.45">
      <c r="R90">
        <v>78</v>
      </c>
      <c r="S90" s="13">
        <v>2.3095557863636134E-2</v>
      </c>
    </row>
    <row r="91" spans="18:19" x14ac:dyDescent="0.45">
      <c r="R91">
        <v>79</v>
      </c>
      <c r="S91" s="13">
        <v>2.1523776021471069E-2</v>
      </c>
    </row>
    <row r="92" spans="18:19" x14ac:dyDescent="0.45">
      <c r="R92">
        <v>80</v>
      </c>
      <c r="S92" s="13">
        <v>1.2500283058263464E-2</v>
      </c>
    </row>
    <row r="93" spans="18:19" x14ac:dyDescent="0.45">
      <c r="R93">
        <v>81</v>
      </c>
      <c r="S93" s="13">
        <v>2.0129223078664698E-2</v>
      </c>
    </row>
    <row r="94" spans="18:19" x14ac:dyDescent="0.45">
      <c r="R94">
        <v>82</v>
      </c>
      <c r="S94" s="13">
        <v>3.6153514389984973E-2</v>
      </c>
    </row>
    <row r="95" spans="18:19" x14ac:dyDescent="0.45">
      <c r="R95">
        <v>83</v>
      </c>
      <c r="S95" s="13">
        <v>8.3604199132625671E-3</v>
      </c>
    </row>
    <row r="96" spans="18:19" x14ac:dyDescent="0.45">
      <c r="R96">
        <v>84</v>
      </c>
      <c r="S96" s="13">
        <v>1.3174919637614232E-2</v>
      </c>
    </row>
    <row r="97" spans="18:19" x14ac:dyDescent="0.45">
      <c r="R97">
        <v>85</v>
      </c>
      <c r="S97" s="13">
        <v>9.2636893384477424E-3</v>
      </c>
    </row>
    <row r="98" spans="18:19" x14ac:dyDescent="0.45">
      <c r="R98">
        <v>86</v>
      </c>
      <c r="S98" s="13">
        <v>1.9420390810829052E-2</v>
      </c>
    </row>
    <row r="99" spans="18:19" x14ac:dyDescent="0.45">
      <c r="R99">
        <v>87</v>
      </c>
      <c r="S99" s="13">
        <v>1.7640875727170394E-2</v>
      </c>
    </row>
    <row r="100" spans="18:19" x14ac:dyDescent="0.45">
      <c r="R100">
        <v>88</v>
      </c>
      <c r="S100" s="13">
        <v>1.325379991720356E-2</v>
      </c>
    </row>
    <row r="101" spans="18:19" x14ac:dyDescent="0.45">
      <c r="R101">
        <v>89</v>
      </c>
      <c r="S101" s="13">
        <v>2.7158397057944247E-2</v>
      </c>
    </row>
    <row r="102" spans="18:19" x14ac:dyDescent="0.45">
      <c r="R102">
        <v>90</v>
      </c>
      <c r="S102" s="13">
        <v>1.1606305922365195E-2</v>
      </c>
    </row>
    <row r="103" spans="18:19" x14ac:dyDescent="0.45">
      <c r="R103">
        <v>91</v>
      </c>
      <c r="S103" s="13">
        <v>4.1002044444257119E-2</v>
      </c>
    </row>
    <row r="104" spans="18:19" x14ac:dyDescent="0.45">
      <c r="R104">
        <v>92</v>
      </c>
      <c r="S104" s="13">
        <v>1.4478648855073958E-2</v>
      </c>
    </row>
    <row r="105" spans="18:19" x14ac:dyDescent="0.45">
      <c r="R105">
        <v>93</v>
      </c>
      <c r="S105" s="13">
        <v>4.3491478009982931E-3</v>
      </c>
    </row>
    <row r="106" spans="18:19" x14ac:dyDescent="0.45">
      <c r="R106">
        <v>94</v>
      </c>
      <c r="S106" s="13">
        <v>2.8647627761754599E-2</v>
      </c>
    </row>
    <row r="107" spans="18:19" x14ac:dyDescent="0.45">
      <c r="R107">
        <v>95</v>
      </c>
      <c r="S107" s="13">
        <v>2.0596763391736946E-2</v>
      </c>
    </row>
    <row r="108" spans="18:19" x14ac:dyDescent="0.45">
      <c r="R108">
        <v>96</v>
      </c>
      <c r="S108" s="13">
        <v>1.5722034802200316E-2</v>
      </c>
    </row>
    <row r="109" spans="18:19" x14ac:dyDescent="0.45">
      <c r="R109">
        <v>97</v>
      </c>
      <c r="S109" s="13">
        <v>3.2478650678998869E-2</v>
      </c>
    </row>
    <row r="110" spans="18:19" x14ac:dyDescent="0.45">
      <c r="R110">
        <v>98</v>
      </c>
      <c r="S110" s="13">
        <v>1.9078685721435024E-2</v>
      </c>
    </row>
    <row r="111" spans="18:19" x14ac:dyDescent="0.45">
      <c r="R111">
        <v>99</v>
      </c>
      <c r="S111" s="13">
        <v>1.8179067843776611E-2</v>
      </c>
    </row>
    <row r="112" spans="18:19" x14ac:dyDescent="0.45">
      <c r="R112">
        <v>100</v>
      </c>
      <c r="S112" s="13">
        <v>1.7995041269274821E-2</v>
      </c>
    </row>
    <row r="113" spans="18:19" x14ac:dyDescent="0.45">
      <c r="R113">
        <v>101</v>
      </c>
      <c r="S113" s="13">
        <v>2.5973160512680955E-2</v>
      </c>
    </row>
    <row r="114" spans="18:19" x14ac:dyDescent="0.45">
      <c r="R114">
        <v>102</v>
      </c>
      <c r="S114" s="13">
        <v>2.3380597643474423E-2</v>
      </c>
    </row>
    <row r="115" spans="18:19" x14ac:dyDescent="0.45">
      <c r="R115">
        <v>103</v>
      </c>
      <c r="S115" s="13">
        <v>7.7144089791972553E-3</v>
      </c>
    </row>
    <row r="116" spans="18:19" x14ac:dyDescent="0.45">
      <c r="R116">
        <v>104</v>
      </c>
      <c r="S116" s="13">
        <v>1.8318743044579582E-2</v>
      </c>
    </row>
    <row r="117" spans="18:19" x14ac:dyDescent="0.45">
      <c r="R117">
        <v>105</v>
      </c>
      <c r="S117" s="13">
        <v>2.4068278765212611E-2</v>
      </c>
    </row>
    <row r="118" spans="18:19" x14ac:dyDescent="0.45">
      <c r="R118">
        <v>106</v>
      </c>
      <c r="S118" s="13">
        <v>4.2671960736398146E-2</v>
      </c>
    </row>
    <row r="119" spans="18:19" x14ac:dyDescent="0.45">
      <c r="R119">
        <v>107</v>
      </c>
      <c r="S119" s="13">
        <v>3.3215864481144358E-2</v>
      </c>
    </row>
    <row r="120" spans="18:19" x14ac:dyDescent="0.45">
      <c r="R120">
        <v>108</v>
      </c>
      <c r="S120" s="13">
        <v>2.4245603110589788E-2</v>
      </c>
    </row>
    <row r="121" spans="18:19" x14ac:dyDescent="0.45">
      <c r="R121">
        <v>109</v>
      </c>
      <c r="S121" s="13">
        <v>2.493654335921636E-2</v>
      </c>
    </row>
    <row r="122" spans="18:19" x14ac:dyDescent="0.45">
      <c r="R122">
        <v>110</v>
      </c>
      <c r="S122" s="13">
        <v>1.2807685458190001E-2</v>
      </c>
    </row>
    <row r="123" spans="18:19" x14ac:dyDescent="0.45">
      <c r="R123">
        <v>111</v>
      </c>
      <c r="S123" s="13">
        <v>3.5721657290321077E-2</v>
      </c>
    </row>
    <row r="124" spans="18:19" x14ac:dyDescent="0.45">
      <c r="R124">
        <v>112</v>
      </c>
      <c r="S124" s="13">
        <v>1.6093401125354231E-2</v>
      </c>
    </row>
    <row r="125" spans="18:19" x14ac:dyDescent="0.45">
      <c r="R125">
        <v>113</v>
      </c>
      <c r="S125" s="13">
        <v>-9.0578343007717138E-3</v>
      </c>
    </row>
    <row r="126" spans="18:19" x14ac:dyDescent="0.45">
      <c r="R126">
        <v>114</v>
      </c>
      <c r="S126" s="13">
        <v>2.4975139703723968E-2</v>
      </c>
    </row>
    <row r="127" spans="18:19" x14ac:dyDescent="0.45">
      <c r="R127">
        <v>115</v>
      </c>
      <c r="S127" s="13">
        <v>3.802977264269939E-2</v>
      </c>
    </row>
    <row r="128" spans="18:19" x14ac:dyDescent="0.45">
      <c r="R128">
        <v>116</v>
      </c>
      <c r="S128" s="13">
        <v>2.8370074893094375E-2</v>
      </c>
    </row>
    <row r="129" spans="18:19" x14ac:dyDescent="0.45">
      <c r="R129">
        <v>117</v>
      </c>
      <c r="S129" s="13">
        <v>1.0426881858493095E-2</v>
      </c>
    </row>
    <row r="130" spans="18:19" x14ac:dyDescent="0.45">
      <c r="R130">
        <v>118</v>
      </c>
      <c r="S130" s="13">
        <v>1.5965577928298537E-2</v>
      </c>
    </row>
    <row r="131" spans="18:19" x14ac:dyDescent="0.45">
      <c r="R131">
        <v>119</v>
      </c>
      <c r="S131" s="13">
        <v>2.3171152024349769E-2</v>
      </c>
    </row>
    <row r="132" spans="18:19" x14ac:dyDescent="0.45">
      <c r="R132">
        <v>120</v>
      </c>
      <c r="S132" s="13">
        <v>7.0536918933712077E-3</v>
      </c>
    </row>
    <row r="133" spans="18:19" x14ac:dyDescent="0.45">
      <c r="R133">
        <v>121</v>
      </c>
      <c r="S133" s="13">
        <v>2.2480545230682235E-2</v>
      </c>
    </row>
    <row r="134" spans="18:19" x14ac:dyDescent="0.45">
      <c r="R134">
        <v>122</v>
      </c>
      <c r="S134" s="13">
        <v>1.3050900582902564E-3</v>
      </c>
    </row>
    <row r="135" spans="18:19" x14ac:dyDescent="0.45">
      <c r="R135">
        <v>123</v>
      </c>
      <c r="S135" s="13">
        <v>7.6076721767257549E-3</v>
      </c>
    </row>
    <row r="136" spans="18:19" x14ac:dyDescent="0.45">
      <c r="R136">
        <v>124</v>
      </c>
      <c r="S136" s="13">
        <v>1.3778079501335683E-2</v>
      </c>
    </row>
    <row r="137" spans="18:19" x14ac:dyDescent="0.45">
      <c r="R137">
        <v>125</v>
      </c>
      <c r="S137" s="13">
        <v>2.9910196648092326E-2</v>
      </c>
    </row>
    <row r="138" spans="18:19" x14ac:dyDescent="0.45">
      <c r="R138">
        <v>126</v>
      </c>
      <c r="S138" s="13">
        <v>1.7508198021912537E-2</v>
      </c>
    </row>
    <row r="139" spans="18:19" x14ac:dyDescent="0.45">
      <c r="R139">
        <v>127</v>
      </c>
      <c r="S139" s="13">
        <v>-4.4728478009336131E-3</v>
      </c>
    </row>
    <row r="140" spans="18:19" x14ac:dyDescent="0.45">
      <c r="R140">
        <v>128</v>
      </c>
      <c r="S140" s="13">
        <v>2.8005743934433017E-2</v>
      </c>
    </row>
    <row r="141" spans="18:19" x14ac:dyDescent="0.45">
      <c r="R141">
        <v>129</v>
      </c>
      <c r="S141" s="13">
        <v>1.4281336515537708E-2</v>
      </c>
    </row>
    <row r="142" spans="18:19" x14ac:dyDescent="0.45">
      <c r="R142">
        <v>130</v>
      </c>
      <c r="S142" s="13">
        <v>2.8342803749764701E-2</v>
      </c>
    </row>
    <row r="143" spans="18:19" x14ac:dyDescent="0.45">
      <c r="R143">
        <v>131</v>
      </c>
      <c r="S143" s="13">
        <v>2.2507973199172707E-2</v>
      </c>
    </row>
    <row r="144" spans="18:19" x14ac:dyDescent="0.45">
      <c r="R144">
        <v>132</v>
      </c>
      <c r="S144" s="13">
        <v>1.3212862550921533E-2</v>
      </c>
    </row>
    <row r="145" spans="18:19" x14ac:dyDescent="0.45">
      <c r="R145">
        <v>133</v>
      </c>
      <c r="S145" s="13">
        <v>-3.5404814831424061E-3</v>
      </c>
    </row>
    <row r="146" spans="18:19" x14ac:dyDescent="0.45">
      <c r="R146">
        <v>134</v>
      </c>
      <c r="S146" s="13">
        <v>7.3621899575122621E-3</v>
      </c>
    </row>
    <row r="147" spans="18:19" x14ac:dyDescent="0.45">
      <c r="R147">
        <v>135</v>
      </c>
      <c r="S147" s="13">
        <v>5.0866883780457447E-3</v>
      </c>
    </row>
    <row r="148" spans="18:19" x14ac:dyDescent="0.45">
      <c r="R148">
        <v>136</v>
      </c>
      <c r="S148" s="13">
        <v>7.2109114362326997E-3</v>
      </c>
    </row>
    <row r="149" spans="18:19" x14ac:dyDescent="0.45">
      <c r="R149">
        <v>137</v>
      </c>
      <c r="S149" s="13">
        <v>-2.8980869826426975E-3</v>
      </c>
    </row>
    <row r="150" spans="18:19" x14ac:dyDescent="0.45">
      <c r="R150">
        <v>138</v>
      </c>
      <c r="S150" s="13">
        <v>1.2364776304635229E-2</v>
      </c>
    </row>
    <row r="151" spans="18:19" x14ac:dyDescent="0.45">
      <c r="R151">
        <v>139</v>
      </c>
      <c r="S151" s="13">
        <v>1.9332751987343671E-2</v>
      </c>
    </row>
    <row r="152" spans="18:19" x14ac:dyDescent="0.45">
      <c r="R152">
        <v>140</v>
      </c>
      <c r="S152" s="13">
        <v>3.2162423787788511E-2</v>
      </c>
    </row>
    <row r="153" spans="18:19" x14ac:dyDescent="0.45">
      <c r="R153">
        <v>141</v>
      </c>
      <c r="S153" s="13">
        <v>1.3778553902229783E-2</v>
      </c>
    </row>
    <row r="154" spans="18:19" x14ac:dyDescent="0.45">
      <c r="R154">
        <v>142</v>
      </c>
      <c r="S154" s="13">
        <v>3.2763299544624411E-4</v>
      </c>
    </row>
    <row r="155" spans="18:19" x14ac:dyDescent="0.45">
      <c r="R155">
        <v>143</v>
      </c>
      <c r="S155" s="13">
        <v>4.2896866826145526E-3</v>
      </c>
    </row>
    <row r="156" spans="18:19" x14ac:dyDescent="0.45">
      <c r="R156">
        <v>144</v>
      </c>
      <c r="S156" s="13">
        <v>1.0512571931002575E-2</v>
      </c>
    </row>
    <row r="157" spans="18:19" x14ac:dyDescent="0.45">
      <c r="R157">
        <v>145</v>
      </c>
      <c r="S157" s="13">
        <v>3.4132601242522931E-2</v>
      </c>
    </row>
    <row r="158" spans="18:19" x14ac:dyDescent="0.45">
      <c r="R158">
        <v>146</v>
      </c>
      <c r="S158" s="13">
        <v>2.1900339690699246E-2</v>
      </c>
    </row>
    <row r="159" spans="18:19" x14ac:dyDescent="0.45">
      <c r="R159">
        <v>147</v>
      </c>
      <c r="S159" s="13">
        <v>1.2752640807924105E-2</v>
      </c>
    </row>
    <row r="160" spans="18:19" x14ac:dyDescent="0.45">
      <c r="R160">
        <v>148</v>
      </c>
      <c r="S160" s="13">
        <v>1.5087060889173418E-2</v>
      </c>
    </row>
    <row r="161" spans="18:19" x14ac:dyDescent="0.45">
      <c r="R161">
        <v>149</v>
      </c>
      <c r="S161" s="13">
        <v>-7.5357682072877095E-3</v>
      </c>
    </row>
    <row r="162" spans="18:19" x14ac:dyDescent="0.45">
      <c r="R162">
        <v>150</v>
      </c>
      <c r="S162" s="13">
        <v>1.3019317256274955E-2</v>
      </c>
    </row>
    <row r="163" spans="18:19" x14ac:dyDescent="0.45">
      <c r="R163">
        <v>151</v>
      </c>
      <c r="S163" s="13">
        <v>2.5958944300399245E-2</v>
      </c>
    </row>
    <row r="164" spans="18:19" x14ac:dyDescent="0.45">
      <c r="R164">
        <v>152</v>
      </c>
      <c r="S164" s="13">
        <v>2.4825969250177847E-3</v>
      </c>
    </row>
    <row r="165" spans="18:19" x14ac:dyDescent="0.45">
      <c r="R165">
        <v>153</v>
      </c>
      <c r="S165" s="13">
        <v>2.5671028863493338E-2</v>
      </c>
    </row>
    <row r="166" spans="18:19" x14ac:dyDescent="0.45">
      <c r="R166">
        <v>154</v>
      </c>
      <c r="S166" s="13">
        <v>3.4811372803795523E-2</v>
      </c>
    </row>
    <row r="167" spans="18:19" x14ac:dyDescent="0.45">
      <c r="R167">
        <v>155</v>
      </c>
      <c r="S167" s="13">
        <v>1.7105284111268305E-2</v>
      </c>
    </row>
    <row r="168" spans="18:19" x14ac:dyDescent="0.45">
      <c r="R168">
        <v>156</v>
      </c>
      <c r="S168" s="13">
        <v>2.1596208370422771E-2</v>
      </c>
    </row>
    <row r="169" spans="18:19" x14ac:dyDescent="0.45">
      <c r="R169">
        <v>157</v>
      </c>
      <c r="S169" s="13">
        <v>1.6617778537945823E-2</v>
      </c>
    </row>
    <row r="170" spans="18:19" x14ac:dyDescent="0.45">
      <c r="R170">
        <v>158</v>
      </c>
      <c r="S170" s="13">
        <v>1.3228690133868834E-2</v>
      </c>
    </row>
    <row r="171" spans="18:19" x14ac:dyDescent="0.45">
      <c r="R171">
        <v>159</v>
      </c>
      <c r="S171" s="13">
        <v>3.0334164392467652E-2</v>
      </c>
    </row>
    <row r="172" spans="18:19" x14ac:dyDescent="0.45">
      <c r="R172">
        <v>160</v>
      </c>
      <c r="S172" s="13">
        <v>8.578032298784611E-3</v>
      </c>
    </row>
    <row r="173" spans="18:19" x14ac:dyDescent="0.45">
      <c r="R173">
        <v>161</v>
      </c>
      <c r="S173" s="13">
        <v>2.3577120796451689E-2</v>
      </c>
    </row>
    <row r="174" spans="18:19" x14ac:dyDescent="0.45">
      <c r="R174">
        <v>162</v>
      </c>
      <c r="S174" s="13">
        <v>2.6643430580389794E-3</v>
      </c>
    </row>
    <row r="175" spans="18:19" x14ac:dyDescent="0.45">
      <c r="R175">
        <v>163</v>
      </c>
      <c r="S175" s="13">
        <v>1.5365116430299216E-2</v>
      </c>
    </row>
    <row r="176" spans="18:19" x14ac:dyDescent="0.45">
      <c r="R176">
        <v>164</v>
      </c>
      <c r="S176" s="13">
        <v>3.0012507421014308E-2</v>
      </c>
    </row>
    <row r="177" spans="18:19" x14ac:dyDescent="0.45">
      <c r="R177">
        <v>165</v>
      </c>
      <c r="S177" s="13">
        <v>4.4747660288413649E-2</v>
      </c>
    </row>
    <row r="178" spans="18:19" x14ac:dyDescent="0.45">
      <c r="R178">
        <v>166</v>
      </c>
      <c r="S178" s="13">
        <v>2.1309683908992738E-2</v>
      </c>
    </row>
    <row r="179" spans="18:19" x14ac:dyDescent="0.45">
      <c r="R179">
        <v>167</v>
      </c>
      <c r="S179" s="13">
        <v>1.3470449487308331E-2</v>
      </c>
    </row>
    <row r="180" spans="18:19" x14ac:dyDescent="0.45">
      <c r="R180">
        <v>168</v>
      </c>
      <c r="S180" s="13">
        <v>2.4618554592451641E-2</v>
      </c>
    </row>
    <row r="181" spans="18:19" x14ac:dyDescent="0.45">
      <c r="R181">
        <v>169</v>
      </c>
      <c r="S181" s="13">
        <v>2.8184360938708703E-2</v>
      </c>
    </row>
    <row r="182" spans="18:19" x14ac:dyDescent="0.45">
      <c r="R182">
        <v>170</v>
      </c>
      <c r="S182" s="13">
        <v>1.1416439405834353E-2</v>
      </c>
    </row>
    <row r="183" spans="18:19" x14ac:dyDescent="0.45">
      <c r="R183">
        <v>171</v>
      </c>
      <c r="S183" s="13">
        <v>1.0965088062656348E-2</v>
      </c>
    </row>
    <row r="184" spans="18:19" x14ac:dyDescent="0.45">
      <c r="R184">
        <v>172</v>
      </c>
      <c r="S184" s="13">
        <v>2.0484217795710569E-2</v>
      </c>
    </row>
    <row r="185" spans="18:19" x14ac:dyDescent="0.45">
      <c r="R185">
        <v>173</v>
      </c>
      <c r="S185" s="13">
        <v>3.1679400019028657E-2</v>
      </c>
    </row>
    <row r="186" spans="18:19" x14ac:dyDescent="0.45">
      <c r="R186">
        <v>174</v>
      </c>
      <c r="S186" s="13">
        <v>3.2260407781154486E-2</v>
      </c>
    </row>
    <row r="187" spans="18:19" x14ac:dyDescent="0.45">
      <c r="R187">
        <v>175</v>
      </c>
      <c r="S187" s="13">
        <v>1.2574800890556185E-2</v>
      </c>
    </row>
    <row r="188" spans="18:19" x14ac:dyDescent="0.45">
      <c r="R188">
        <v>176</v>
      </c>
      <c r="S188" s="13">
        <v>1.7102715944264494E-2</v>
      </c>
    </row>
    <row r="189" spans="18:19" x14ac:dyDescent="0.45">
      <c r="R189">
        <v>177</v>
      </c>
      <c r="S189" s="13">
        <v>3.8085850119087272E-3</v>
      </c>
    </row>
    <row r="190" spans="18:19" x14ac:dyDescent="0.45">
      <c r="R190">
        <v>178</v>
      </c>
      <c r="S190" s="13">
        <v>3.7130436575668765E-2</v>
      </c>
    </row>
    <row r="191" spans="18:19" x14ac:dyDescent="0.45">
      <c r="R191">
        <v>179</v>
      </c>
      <c r="S191" s="13">
        <v>2.568811901672512E-2</v>
      </c>
    </row>
    <row r="192" spans="18:19" x14ac:dyDescent="0.45">
      <c r="R192">
        <v>180</v>
      </c>
      <c r="S192" s="13">
        <v>3.5587412864835383E-2</v>
      </c>
    </row>
    <row r="193" spans="18:19" x14ac:dyDescent="0.45">
      <c r="R193">
        <v>181</v>
      </c>
      <c r="S193" s="13">
        <v>6.6223474922043023E-3</v>
      </c>
    </row>
    <row r="194" spans="18:19" x14ac:dyDescent="0.45">
      <c r="R194">
        <v>182</v>
      </c>
      <c r="S194" s="13">
        <v>7.2370586501666143E-3</v>
      </c>
    </row>
    <row r="195" spans="18:19" x14ac:dyDescent="0.45">
      <c r="R195">
        <v>183</v>
      </c>
      <c r="S195" s="13">
        <v>1.2161064279505824E-2</v>
      </c>
    </row>
    <row r="196" spans="18:19" x14ac:dyDescent="0.45">
      <c r="R196">
        <v>184</v>
      </c>
      <c r="S196" s="13">
        <v>1.3355719367273262E-2</v>
      </c>
    </row>
    <row r="197" spans="18:19" x14ac:dyDescent="0.45">
      <c r="R197">
        <v>185</v>
      </c>
      <c r="S197" s="13">
        <v>2.0135294707697138E-2</v>
      </c>
    </row>
    <row r="198" spans="18:19" x14ac:dyDescent="0.45">
      <c r="R198">
        <v>186</v>
      </c>
      <c r="S198" s="13">
        <v>1.8209105177523114E-2</v>
      </c>
    </row>
    <row r="199" spans="18:19" x14ac:dyDescent="0.45">
      <c r="R199">
        <v>187</v>
      </c>
      <c r="S199" s="13">
        <v>1.6753631388579715E-2</v>
      </c>
    </row>
    <row r="200" spans="18:19" x14ac:dyDescent="0.45">
      <c r="R200">
        <v>188</v>
      </c>
      <c r="S200" s="13">
        <v>1.8413647541051504E-2</v>
      </c>
    </row>
    <row r="201" spans="18:19" x14ac:dyDescent="0.45">
      <c r="R201">
        <v>189</v>
      </c>
      <c r="S201" s="13">
        <v>2.0180698434154511E-2</v>
      </c>
    </row>
    <row r="202" spans="18:19" x14ac:dyDescent="0.45">
      <c r="R202">
        <v>190</v>
      </c>
      <c r="S202" s="13">
        <v>1.0627730942383945E-2</v>
      </c>
    </row>
    <row r="203" spans="18:19" x14ac:dyDescent="0.45">
      <c r="R203">
        <v>191</v>
      </c>
      <c r="S203" s="13">
        <v>3.3093922969840137E-2</v>
      </c>
    </row>
    <row r="204" spans="18:19" x14ac:dyDescent="0.45">
      <c r="R204">
        <v>192</v>
      </c>
      <c r="S204" s="13">
        <v>5.4912510609898824E-4</v>
      </c>
    </row>
    <row r="205" spans="18:19" x14ac:dyDescent="0.45">
      <c r="R205">
        <v>193</v>
      </c>
      <c r="S205" s="13">
        <v>1.7938002649941755E-2</v>
      </c>
    </row>
    <row r="206" spans="18:19" x14ac:dyDescent="0.45">
      <c r="R206">
        <v>194</v>
      </c>
      <c r="S206" s="13">
        <v>1.5475279223768332E-2</v>
      </c>
    </row>
    <row r="207" spans="18:19" x14ac:dyDescent="0.45">
      <c r="R207">
        <v>195</v>
      </c>
      <c r="S207" s="13">
        <v>1.0636853594500152E-2</v>
      </c>
    </row>
    <row r="208" spans="18:19" x14ac:dyDescent="0.45">
      <c r="R208">
        <v>196</v>
      </c>
      <c r="S208" s="13">
        <v>3.0719801297211864E-2</v>
      </c>
    </row>
    <row r="209" spans="18:19" x14ac:dyDescent="0.45">
      <c r="R209">
        <v>197</v>
      </c>
      <c r="S209" s="13">
        <v>1.6093963871265979E-2</v>
      </c>
    </row>
    <row r="210" spans="18:19" x14ac:dyDescent="0.45">
      <c r="R210">
        <v>198</v>
      </c>
      <c r="S210" s="13">
        <v>3.5417144961330846E-2</v>
      </c>
    </row>
    <row r="211" spans="18:19" x14ac:dyDescent="0.45">
      <c r="R211">
        <v>199</v>
      </c>
      <c r="S211" s="13">
        <v>4.5593794183575606E-2</v>
      </c>
    </row>
    <row r="212" spans="18:19" x14ac:dyDescent="0.45">
      <c r="R212">
        <v>200</v>
      </c>
      <c r="S212" s="13">
        <v>9.4488865073191885E-3</v>
      </c>
    </row>
    <row r="213" spans="18:19" x14ac:dyDescent="0.45">
      <c r="R213">
        <v>201</v>
      </c>
      <c r="S213" s="13">
        <v>2.8565309217016551E-2</v>
      </c>
    </row>
    <row r="214" spans="18:19" x14ac:dyDescent="0.45">
      <c r="R214">
        <v>202</v>
      </c>
      <c r="S214" s="13">
        <v>1.9964077868745968E-2</v>
      </c>
    </row>
    <row r="215" spans="18:19" x14ac:dyDescent="0.45">
      <c r="R215">
        <v>203</v>
      </c>
      <c r="S215" s="13">
        <v>1.0804795475444051E-2</v>
      </c>
    </row>
    <row r="216" spans="18:19" x14ac:dyDescent="0.45">
      <c r="R216">
        <v>204</v>
      </c>
      <c r="S216" s="13">
        <v>1.7188717376726715E-2</v>
      </c>
    </row>
    <row r="217" spans="18:19" x14ac:dyDescent="0.45">
      <c r="R217">
        <v>205</v>
      </c>
      <c r="S217" s="13">
        <v>2.0505864943610765E-2</v>
      </c>
    </row>
    <row r="218" spans="18:19" x14ac:dyDescent="0.45">
      <c r="R218">
        <v>206</v>
      </c>
      <c r="S218" s="13">
        <v>1.5528445610110513E-2</v>
      </c>
    </row>
    <row r="219" spans="18:19" x14ac:dyDescent="0.45">
      <c r="R219">
        <v>207</v>
      </c>
      <c r="S219" s="13">
        <v>2.3587206060333887E-2</v>
      </c>
    </row>
    <row r="220" spans="18:19" x14ac:dyDescent="0.45">
      <c r="R220">
        <v>208</v>
      </c>
      <c r="S220" s="13">
        <v>2.0477921410206129E-2</v>
      </c>
    </row>
    <row r="221" spans="18:19" x14ac:dyDescent="0.45">
      <c r="R221">
        <v>209</v>
      </c>
      <c r="S221" s="13">
        <v>7.5927379410568371E-3</v>
      </c>
    </row>
    <row r="222" spans="18:19" x14ac:dyDescent="0.45">
      <c r="R222">
        <v>210</v>
      </c>
      <c r="S222" s="13">
        <v>9.3569868351948676E-3</v>
      </c>
    </row>
    <row r="223" spans="18:19" x14ac:dyDescent="0.45">
      <c r="R223">
        <v>211</v>
      </c>
      <c r="S223" s="13">
        <v>5.9776523093811179E-3</v>
      </c>
    </row>
    <row r="224" spans="18:19" x14ac:dyDescent="0.45">
      <c r="R224">
        <v>212</v>
      </c>
      <c r="S224" s="13">
        <v>1.0621529991476452E-2</v>
      </c>
    </row>
    <row r="225" spans="18:19" x14ac:dyDescent="0.45">
      <c r="R225">
        <v>213</v>
      </c>
      <c r="S225" s="13">
        <v>1.9319701679347025E-2</v>
      </c>
    </row>
    <row r="226" spans="18:19" x14ac:dyDescent="0.45">
      <c r="R226">
        <v>214</v>
      </c>
      <c r="S226" s="13">
        <v>2.0797411949853326E-2</v>
      </c>
    </row>
    <row r="227" spans="18:19" x14ac:dyDescent="0.45">
      <c r="R227">
        <v>215</v>
      </c>
      <c r="S227" s="13">
        <v>1.6923442058981567E-2</v>
      </c>
    </row>
    <row r="228" spans="18:19" x14ac:dyDescent="0.45">
      <c r="R228">
        <v>216</v>
      </c>
      <c r="S228" s="13">
        <v>1.8621266587508078E-2</v>
      </c>
    </row>
    <row r="229" spans="18:19" x14ac:dyDescent="0.45">
      <c r="R229">
        <v>217</v>
      </c>
      <c r="S229" s="13">
        <v>1.7924560467483378E-2</v>
      </c>
    </row>
    <row r="230" spans="18:19" x14ac:dyDescent="0.45">
      <c r="R230">
        <v>218</v>
      </c>
      <c r="S230" s="13">
        <v>7.9505811096379827E-3</v>
      </c>
    </row>
    <row r="231" spans="18:19" x14ac:dyDescent="0.45">
      <c r="R231">
        <v>219</v>
      </c>
      <c r="S231" s="13">
        <v>2.4665960355615954E-2</v>
      </c>
    </row>
    <row r="232" spans="18:19" x14ac:dyDescent="0.45">
      <c r="R232">
        <v>220</v>
      </c>
      <c r="S232" s="13">
        <v>1.3796038861439267E-2</v>
      </c>
    </row>
    <row r="233" spans="18:19" x14ac:dyDescent="0.45">
      <c r="R233">
        <v>221</v>
      </c>
      <c r="S233" s="13">
        <v>1.3452604265455933E-2</v>
      </c>
    </row>
    <row r="234" spans="18:19" x14ac:dyDescent="0.45">
      <c r="R234">
        <v>222</v>
      </c>
      <c r="S234" s="13">
        <v>2.8006086316718366E-2</v>
      </c>
    </row>
    <row r="235" spans="18:19" x14ac:dyDescent="0.45">
      <c r="R235">
        <v>223</v>
      </c>
      <c r="S235" s="13">
        <v>2.2772260722515425E-2</v>
      </c>
    </row>
    <row r="236" spans="18:19" x14ac:dyDescent="0.45">
      <c r="R236">
        <v>224</v>
      </c>
      <c r="S236" s="13">
        <v>2.7920915662442355E-2</v>
      </c>
    </row>
    <row r="237" spans="18:19" x14ac:dyDescent="0.45">
      <c r="R237">
        <v>225</v>
      </c>
      <c r="S237" s="13">
        <v>3.4577713378023366E-3</v>
      </c>
    </row>
    <row r="238" spans="18:19" x14ac:dyDescent="0.45">
      <c r="R238">
        <v>226</v>
      </c>
      <c r="S238" s="13">
        <v>1.4773728760052018E-2</v>
      </c>
    </row>
    <row r="239" spans="18:19" x14ac:dyDescent="0.45">
      <c r="R239">
        <v>227</v>
      </c>
      <c r="S239" s="13">
        <v>1.4843640850228006E-2</v>
      </c>
    </row>
    <row r="240" spans="18:19" x14ac:dyDescent="0.45">
      <c r="R240">
        <v>228</v>
      </c>
      <c r="S240" s="13">
        <v>2.6979209281361355E-2</v>
      </c>
    </row>
    <row r="241" spans="18:19" x14ac:dyDescent="0.45">
      <c r="R241">
        <v>229</v>
      </c>
      <c r="S241" s="13">
        <v>3.1612575359833084E-2</v>
      </c>
    </row>
    <row r="242" spans="18:19" x14ac:dyDescent="0.45">
      <c r="R242">
        <v>230</v>
      </c>
      <c r="S242" s="13">
        <v>2.8077607338695583E-3</v>
      </c>
    </row>
    <row r="243" spans="18:19" x14ac:dyDescent="0.45">
      <c r="R243">
        <v>231</v>
      </c>
      <c r="S243" s="13">
        <v>1.360850705987268E-2</v>
      </c>
    </row>
    <row r="244" spans="18:19" x14ac:dyDescent="0.45">
      <c r="R244">
        <v>232</v>
      </c>
      <c r="S244" s="13">
        <v>2.2742236122633493E-2</v>
      </c>
    </row>
    <row r="245" spans="18:19" x14ac:dyDescent="0.45">
      <c r="R245">
        <v>233</v>
      </c>
      <c r="S245" s="13">
        <v>2.0375585247141368E-2</v>
      </c>
    </row>
    <row r="246" spans="18:19" x14ac:dyDescent="0.45">
      <c r="R246">
        <v>234</v>
      </c>
      <c r="S246" s="13">
        <v>1.8459566418692737E-2</v>
      </c>
    </row>
    <row r="247" spans="18:19" x14ac:dyDescent="0.45">
      <c r="R247">
        <v>235</v>
      </c>
      <c r="S247" s="13">
        <v>1.700955205774457E-2</v>
      </c>
    </row>
    <row r="248" spans="18:19" x14ac:dyDescent="0.45">
      <c r="R248">
        <v>236</v>
      </c>
      <c r="S248" s="13">
        <v>1.0924185587636288E-2</v>
      </c>
    </row>
    <row r="249" spans="18:19" x14ac:dyDescent="0.45">
      <c r="R249">
        <v>237</v>
      </c>
      <c r="S249" s="13">
        <v>2.515877318884515E-2</v>
      </c>
    </row>
    <row r="250" spans="18:19" x14ac:dyDescent="0.45">
      <c r="R250">
        <v>238</v>
      </c>
      <c r="S250" s="13">
        <v>2.4791281826761581E-2</v>
      </c>
    </row>
    <row r="251" spans="18:19" x14ac:dyDescent="0.45">
      <c r="R251">
        <v>239</v>
      </c>
      <c r="S251" s="13">
        <v>1.4460169502334023E-2</v>
      </c>
    </row>
    <row r="252" spans="18:19" x14ac:dyDescent="0.45">
      <c r="R252">
        <v>240</v>
      </c>
      <c r="S252" s="13">
        <v>1.6243441526138349E-2</v>
      </c>
    </row>
    <row r="253" spans="18:19" x14ac:dyDescent="0.45">
      <c r="R253">
        <v>241</v>
      </c>
      <c r="S253" s="13">
        <v>5.3937065935367751E-3</v>
      </c>
    </row>
    <row r="254" spans="18:19" x14ac:dyDescent="0.45">
      <c r="R254">
        <v>242</v>
      </c>
      <c r="S254" s="13">
        <v>1.5712802970225242E-2</v>
      </c>
    </row>
    <row r="255" spans="18:19" x14ac:dyDescent="0.45">
      <c r="R255">
        <v>243</v>
      </c>
      <c r="S255" s="13">
        <v>1.9530064460362376E-2</v>
      </c>
    </row>
    <row r="256" spans="18:19" x14ac:dyDescent="0.45">
      <c r="R256">
        <v>244</v>
      </c>
      <c r="S256" s="13">
        <v>3.7921108634115658E-2</v>
      </c>
    </row>
    <row r="257" spans="18:19" x14ac:dyDescent="0.45">
      <c r="R257">
        <v>245</v>
      </c>
      <c r="S257" s="13">
        <v>2.4840270876584435E-2</v>
      </c>
    </row>
    <row r="258" spans="18:19" x14ac:dyDescent="0.45">
      <c r="R258">
        <v>246</v>
      </c>
      <c r="S258" s="13">
        <v>1.3363635321210198E-2</v>
      </c>
    </row>
    <row r="259" spans="18:19" x14ac:dyDescent="0.45">
      <c r="R259">
        <v>247</v>
      </c>
      <c r="S259" s="13">
        <v>2.9328924196401956E-2</v>
      </c>
    </row>
    <row r="260" spans="18:19" x14ac:dyDescent="0.45">
      <c r="R260">
        <v>248</v>
      </c>
      <c r="S260" s="13">
        <v>2.6746760846171051E-2</v>
      </c>
    </row>
    <row r="261" spans="18:19" x14ac:dyDescent="0.45">
      <c r="R261">
        <v>249</v>
      </c>
      <c r="S261" s="13">
        <v>3.9939674725426914E-2</v>
      </c>
    </row>
    <row r="262" spans="18:19" x14ac:dyDescent="0.45">
      <c r="R262">
        <v>250</v>
      </c>
      <c r="S262" s="13">
        <v>1.3146458046405029E-2</v>
      </c>
    </row>
    <row r="263" spans="18:19" x14ac:dyDescent="0.45">
      <c r="R263">
        <v>251</v>
      </c>
      <c r="S263" s="13">
        <v>3.000501007835539E-2</v>
      </c>
    </row>
    <row r="264" spans="18:19" x14ac:dyDescent="0.45">
      <c r="R264">
        <v>252</v>
      </c>
      <c r="S264" s="13">
        <v>4.7756600738492506E-3</v>
      </c>
    </row>
    <row r="265" spans="18:19" x14ac:dyDescent="0.45">
      <c r="R265">
        <v>253</v>
      </c>
      <c r="S265" s="13">
        <v>2.492507237272255E-2</v>
      </c>
    </row>
    <row r="266" spans="18:19" x14ac:dyDescent="0.45">
      <c r="R266">
        <v>254</v>
      </c>
      <c r="S266" s="13">
        <v>1.1016694489251903E-2</v>
      </c>
    </row>
    <row r="267" spans="18:19" x14ac:dyDescent="0.45">
      <c r="R267">
        <v>255</v>
      </c>
      <c r="S267" s="13">
        <v>1.5924747559817182E-2</v>
      </c>
    </row>
    <row r="268" spans="18:19" x14ac:dyDescent="0.45">
      <c r="R268">
        <v>256</v>
      </c>
      <c r="S268" s="13">
        <v>4.3641740456212677E-2</v>
      </c>
    </row>
    <row r="269" spans="18:19" x14ac:dyDescent="0.45">
      <c r="R269">
        <v>257</v>
      </c>
      <c r="S269" s="13">
        <v>3.1803108807084354E-2</v>
      </c>
    </row>
    <row r="270" spans="18:19" x14ac:dyDescent="0.45">
      <c r="R270">
        <v>258</v>
      </c>
      <c r="S270" s="13">
        <v>1.8319981794235548E-2</v>
      </c>
    </row>
    <row r="271" spans="18:19" x14ac:dyDescent="0.45">
      <c r="R271">
        <v>259</v>
      </c>
      <c r="S271" s="13">
        <v>1.5760020488687632E-2</v>
      </c>
    </row>
    <row r="272" spans="18:19" x14ac:dyDescent="0.45">
      <c r="R272">
        <v>260</v>
      </c>
      <c r="S272" s="13">
        <v>3.8793162642911778E-2</v>
      </c>
    </row>
    <row r="273" spans="18:19" x14ac:dyDescent="0.45">
      <c r="R273">
        <v>261</v>
      </c>
      <c r="S273" s="13">
        <v>1.9189315881500604E-2</v>
      </c>
    </row>
    <row r="274" spans="18:19" x14ac:dyDescent="0.45">
      <c r="R274">
        <v>262</v>
      </c>
      <c r="S274" s="13">
        <v>4.3904304851757545E-2</v>
      </c>
    </row>
    <row r="275" spans="18:19" x14ac:dyDescent="0.45">
      <c r="R275">
        <v>263</v>
      </c>
      <c r="S275" s="13">
        <v>4.9930686147361316E-3</v>
      </c>
    </row>
    <row r="276" spans="18:19" x14ac:dyDescent="0.45">
      <c r="R276">
        <v>264</v>
      </c>
      <c r="S276" s="13">
        <v>3.3225477316142497E-2</v>
      </c>
    </row>
    <row r="277" spans="18:19" x14ac:dyDescent="0.45">
      <c r="R277">
        <v>265</v>
      </c>
      <c r="S277" s="13">
        <v>-7.1532742833643401E-4</v>
      </c>
    </row>
    <row r="278" spans="18:19" x14ac:dyDescent="0.45">
      <c r="R278">
        <v>266</v>
      </c>
      <c r="S278" s="13">
        <v>1.2493482421714771E-2</v>
      </c>
    </row>
    <row r="279" spans="18:19" x14ac:dyDescent="0.45">
      <c r="R279">
        <v>267</v>
      </c>
      <c r="S279" s="13">
        <v>3.5970472759589284E-2</v>
      </c>
    </row>
    <row r="280" spans="18:19" x14ac:dyDescent="0.45">
      <c r="R280">
        <v>268</v>
      </c>
      <c r="S280" s="13">
        <v>2.062015965645762E-2</v>
      </c>
    </row>
    <row r="281" spans="18:19" x14ac:dyDescent="0.45">
      <c r="R281">
        <v>269</v>
      </c>
      <c r="S281" s="13">
        <v>1.6024733328078231E-2</v>
      </c>
    </row>
    <row r="282" spans="18:19" x14ac:dyDescent="0.45">
      <c r="R282">
        <v>270</v>
      </c>
      <c r="S282" s="13">
        <v>1.6394610189283114E-2</v>
      </c>
    </row>
    <row r="283" spans="18:19" x14ac:dyDescent="0.45">
      <c r="R283">
        <v>271</v>
      </c>
      <c r="S283" s="13">
        <v>3.8947261401114222E-2</v>
      </c>
    </row>
    <row r="284" spans="18:19" x14ac:dyDescent="0.45">
      <c r="R284">
        <v>272</v>
      </c>
      <c r="S284" s="13">
        <v>3.3649931503904738E-2</v>
      </c>
    </row>
    <row r="285" spans="18:19" x14ac:dyDescent="0.45">
      <c r="R285">
        <v>273</v>
      </c>
      <c r="S285" s="13">
        <v>3.9958056082510782E-2</v>
      </c>
    </row>
    <row r="286" spans="18:19" x14ac:dyDescent="0.45">
      <c r="R286">
        <v>274</v>
      </c>
      <c r="S286" s="13">
        <v>2.5985417738926327E-2</v>
      </c>
    </row>
    <row r="287" spans="18:19" x14ac:dyDescent="0.45">
      <c r="R287">
        <v>275</v>
      </c>
      <c r="S287" s="13">
        <v>3.0974049923678696E-2</v>
      </c>
    </row>
    <row r="288" spans="18:19" x14ac:dyDescent="0.45">
      <c r="R288">
        <v>276</v>
      </c>
      <c r="S288" s="13">
        <v>1.9769207934904227E-2</v>
      </c>
    </row>
    <row r="289" spans="18:19" x14ac:dyDescent="0.45">
      <c r="R289">
        <v>277</v>
      </c>
      <c r="S289" s="13">
        <v>4.2534597093011987E-3</v>
      </c>
    </row>
    <row r="290" spans="18:19" x14ac:dyDescent="0.45">
      <c r="R290">
        <v>278</v>
      </c>
      <c r="S290" s="13">
        <v>3.1138549274030536E-2</v>
      </c>
    </row>
    <row r="291" spans="18:19" x14ac:dyDescent="0.45">
      <c r="R291">
        <v>279</v>
      </c>
      <c r="S291" s="13">
        <v>3.0541885900966986E-2</v>
      </c>
    </row>
    <row r="292" spans="18:19" x14ac:dyDescent="0.45">
      <c r="R292">
        <v>280</v>
      </c>
      <c r="S292" s="13">
        <v>2.7182253463443391E-2</v>
      </c>
    </row>
    <row r="293" spans="18:19" x14ac:dyDescent="0.45">
      <c r="R293">
        <v>281</v>
      </c>
      <c r="S293" s="13">
        <v>2.38237108930851E-2</v>
      </c>
    </row>
    <row r="294" spans="18:19" x14ac:dyDescent="0.45">
      <c r="R294">
        <v>282</v>
      </c>
      <c r="S294" s="13">
        <v>2.6455055017860302E-2</v>
      </c>
    </row>
    <row r="295" spans="18:19" x14ac:dyDescent="0.45">
      <c r="R295">
        <v>283</v>
      </c>
      <c r="S295" s="13">
        <v>1.9064419770267585E-2</v>
      </c>
    </row>
    <row r="296" spans="18:19" x14ac:dyDescent="0.45">
      <c r="R296">
        <v>284</v>
      </c>
      <c r="S296" s="13">
        <v>2.5391296292991389E-2</v>
      </c>
    </row>
    <row r="297" spans="18:19" x14ac:dyDescent="0.45">
      <c r="R297">
        <v>285</v>
      </c>
      <c r="S297" s="13">
        <v>3.05768877097446E-2</v>
      </c>
    </row>
    <row r="298" spans="18:19" x14ac:dyDescent="0.45">
      <c r="R298">
        <v>286</v>
      </c>
      <c r="S298" s="13">
        <v>2.6509198273972107E-2</v>
      </c>
    </row>
    <row r="299" spans="18:19" x14ac:dyDescent="0.45">
      <c r="R299">
        <v>287</v>
      </c>
      <c r="S299" s="13">
        <v>1.7014831128951229E-2</v>
      </c>
    </row>
    <row r="300" spans="18:19" x14ac:dyDescent="0.45">
      <c r="R300">
        <v>288</v>
      </c>
      <c r="S300" s="13">
        <v>1.3716674655301492E-4</v>
      </c>
    </row>
    <row r="301" spans="18:19" x14ac:dyDescent="0.45">
      <c r="R301">
        <v>289</v>
      </c>
      <c r="S301" s="13">
        <v>7.931723548036616E-3</v>
      </c>
    </row>
    <row r="302" spans="18:19" x14ac:dyDescent="0.45">
      <c r="R302">
        <v>290</v>
      </c>
      <c r="S302" s="13">
        <v>1.0823639897116155E-2</v>
      </c>
    </row>
    <row r="303" spans="18:19" x14ac:dyDescent="0.45">
      <c r="R303">
        <v>291</v>
      </c>
      <c r="S303" s="13">
        <v>1.9863929870879041E-2</v>
      </c>
    </row>
    <row r="304" spans="18:19" x14ac:dyDescent="0.45">
      <c r="R304">
        <v>292</v>
      </c>
      <c r="S304" s="13">
        <v>1.7705478824504857E-2</v>
      </c>
    </row>
    <row r="305" spans="18:19" x14ac:dyDescent="0.45">
      <c r="R305">
        <v>293</v>
      </c>
      <c r="S305" s="13">
        <v>3.5554028435235162E-2</v>
      </c>
    </row>
    <row r="306" spans="18:19" x14ac:dyDescent="0.45">
      <c r="R306">
        <v>294</v>
      </c>
      <c r="S306" s="13">
        <v>1.2483395763820435E-2</v>
      </c>
    </row>
    <row r="307" spans="18:19" x14ac:dyDescent="0.45">
      <c r="R307">
        <v>295</v>
      </c>
      <c r="S307" s="13">
        <v>7.7064946280499865E-3</v>
      </c>
    </row>
    <row r="308" spans="18:19" x14ac:dyDescent="0.45">
      <c r="R308">
        <v>296</v>
      </c>
      <c r="S308" s="13">
        <v>3.0552763442365696E-2</v>
      </c>
    </row>
    <row r="309" spans="18:19" x14ac:dyDescent="0.45">
      <c r="R309">
        <v>297</v>
      </c>
      <c r="S309" s="13">
        <v>2.4908948818975298E-2</v>
      </c>
    </row>
    <row r="310" spans="18:19" x14ac:dyDescent="0.45">
      <c r="R310">
        <v>298</v>
      </c>
      <c r="S310" s="13">
        <v>7.9095403305328976E-3</v>
      </c>
    </row>
    <row r="311" spans="18:19" x14ac:dyDescent="0.45">
      <c r="R311">
        <v>299</v>
      </c>
      <c r="S311" s="13">
        <v>3.0461805159261526E-2</v>
      </c>
    </row>
    <row r="312" spans="18:19" x14ac:dyDescent="0.45">
      <c r="R312">
        <v>300</v>
      </c>
      <c r="S312" s="13">
        <v>3.5630883594424387E-2</v>
      </c>
    </row>
    <row r="313" spans="18:19" x14ac:dyDescent="0.45">
      <c r="R313">
        <v>301</v>
      </c>
      <c r="S313" s="13">
        <v>1.9574059557742732E-2</v>
      </c>
    </row>
    <row r="314" spans="18:19" x14ac:dyDescent="0.45">
      <c r="R314">
        <v>302</v>
      </c>
      <c r="S314" s="13">
        <v>2.9360665622030411E-2</v>
      </c>
    </row>
    <row r="315" spans="18:19" x14ac:dyDescent="0.45">
      <c r="R315">
        <v>303</v>
      </c>
      <c r="S315" s="13">
        <v>4.0975620809648415E-3</v>
      </c>
    </row>
    <row r="316" spans="18:19" x14ac:dyDescent="0.45">
      <c r="R316">
        <v>304</v>
      </c>
      <c r="S316" s="13">
        <v>2.1793185131193354E-2</v>
      </c>
    </row>
    <row r="317" spans="18:19" x14ac:dyDescent="0.45">
      <c r="R317">
        <v>305</v>
      </c>
      <c r="S317" s="13">
        <v>1.7416615696173463E-2</v>
      </c>
    </row>
    <row r="318" spans="18:19" x14ac:dyDescent="0.45">
      <c r="R318">
        <v>306</v>
      </c>
      <c r="S318" s="13">
        <v>4.3766461278170535E-2</v>
      </c>
    </row>
    <row r="319" spans="18:19" x14ac:dyDescent="0.45">
      <c r="R319">
        <v>307</v>
      </c>
      <c r="S319" s="13">
        <v>2.7047359522405171E-2</v>
      </c>
    </row>
    <row r="320" spans="18:19" x14ac:dyDescent="0.45">
      <c r="R320">
        <v>308</v>
      </c>
      <c r="S320" s="13">
        <v>2.1842441877286751E-2</v>
      </c>
    </row>
    <row r="321" spans="18:19" x14ac:dyDescent="0.45">
      <c r="R321">
        <v>309</v>
      </c>
      <c r="S321" s="13">
        <v>2.8254264056929764E-2</v>
      </c>
    </row>
    <row r="322" spans="18:19" x14ac:dyDescent="0.45">
      <c r="R322">
        <v>310</v>
      </c>
      <c r="S322" s="13">
        <v>1.4421703845855057E-2</v>
      </c>
    </row>
    <row r="323" spans="18:19" x14ac:dyDescent="0.45">
      <c r="R323">
        <v>311</v>
      </c>
      <c r="S323" s="13">
        <v>3.0913221588703195E-2</v>
      </c>
    </row>
    <row r="324" spans="18:19" x14ac:dyDescent="0.45">
      <c r="R324">
        <v>312</v>
      </c>
      <c r="S324" s="13">
        <v>1.0885337984289119E-2</v>
      </c>
    </row>
    <row r="325" spans="18:19" x14ac:dyDescent="0.45">
      <c r="R325">
        <v>313</v>
      </c>
      <c r="S325" s="13">
        <v>7.5886501235599875E-3</v>
      </c>
    </row>
    <row r="326" spans="18:19" x14ac:dyDescent="0.45">
      <c r="R326">
        <v>314</v>
      </c>
      <c r="S326" s="13">
        <v>1.0748300077917976E-2</v>
      </c>
    </row>
    <row r="327" spans="18:19" x14ac:dyDescent="0.45">
      <c r="R327">
        <v>315</v>
      </c>
      <c r="S327" s="13">
        <v>1.33573136615399E-2</v>
      </c>
    </row>
    <row r="328" spans="18:19" x14ac:dyDescent="0.45">
      <c r="R328">
        <v>316</v>
      </c>
      <c r="S328" s="13">
        <v>2.7455338424850345E-2</v>
      </c>
    </row>
    <row r="329" spans="18:19" x14ac:dyDescent="0.45">
      <c r="R329">
        <v>317</v>
      </c>
      <c r="S329" s="13">
        <v>9.261434478308404E-3</v>
      </c>
    </row>
    <row r="330" spans="18:19" x14ac:dyDescent="0.45">
      <c r="R330">
        <v>318</v>
      </c>
      <c r="S330" s="13">
        <v>2.3197476059467852E-2</v>
      </c>
    </row>
    <row r="331" spans="18:19" x14ac:dyDescent="0.45">
      <c r="R331">
        <v>319</v>
      </c>
      <c r="S331" s="13">
        <v>3.0944017641230954E-2</v>
      </c>
    </row>
    <row r="332" spans="18:19" x14ac:dyDescent="0.45">
      <c r="R332">
        <v>320</v>
      </c>
      <c r="S332" s="13">
        <v>2.0682428739261238E-3</v>
      </c>
    </row>
    <row r="333" spans="18:19" x14ac:dyDescent="0.45">
      <c r="R333">
        <v>321</v>
      </c>
      <c r="S333" s="13">
        <v>1.5456871801528627E-2</v>
      </c>
    </row>
    <row r="334" spans="18:19" x14ac:dyDescent="0.45">
      <c r="R334">
        <v>322</v>
      </c>
      <c r="S334" s="13">
        <v>3.7172882689802983E-2</v>
      </c>
    </row>
    <row r="335" spans="18:19" x14ac:dyDescent="0.45">
      <c r="R335">
        <v>323</v>
      </c>
      <c r="S335" s="13">
        <v>2.0151863149937232E-2</v>
      </c>
    </row>
    <row r="336" spans="18:19" x14ac:dyDescent="0.45">
      <c r="R336">
        <v>324</v>
      </c>
      <c r="S336" s="13">
        <v>6.7746944638520552E-3</v>
      </c>
    </row>
    <row r="337" spans="18:19" x14ac:dyDescent="0.45">
      <c r="R337">
        <v>325</v>
      </c>
      <c r="S337" s="13">
        <v>2.4159994936942077E-2</v>
      </c>
    </row>
    <row r="338" spans="18:19" x14ac:dyDescent="0.45">
      <c r="R338">
        <v>326</v>
      </c>
      <c r="S338" s="13">
        <v>1.006877694228181E-2</v>
      </c>
    </row>
    <row r="339" spans="18:19" x14ac:dyDescent="0.45">
      <c r="R339">
        <v>327</v>
      </c>
      <c r="S339" s="13">
        <v>1.4518982169202945E-2</v>
      </c>
    </row>
    <row r="340" spans="18:19" x14ac:dyDescent="0.45">
      <c r="R340">
        <v>328</v>
      </c>
      <c r="S340" s="13">
        <v>1.7515411920883617E-2</v>
      </c>
    </row>
    <row r="341" spans="18:19" x14ac:dyDescent="0.45">
      <c r="R341">
        <v>329</v>
      </c>
      <c r="S341" s="13">
        <v>1.7429199788582383E-2</v>
      </c>
    </row>
    <row r="342" spans="18:19" x14ac:dyDescent="0.45">
      <c r="R342">
        <v>330</v>
      </c>
      <c r="S342" s="13">
        <v>6.9936932849777467E-3</v>
      </c>
    </row>
    <row r="343" spans="18:19" x14ac:dyDescent="0.45">
      <c r="R343">
        <v>331</v>
      </c>
      <c r="S343" s="13">
        <v>4.97481834656586E-3</v>
      </c>
    </row>
    <row r="344" spans="18:19" x14ac:dyDescent="0.45">
      <c r="R344">
        <v>332</v>
      </c>
      <c r="S344" s="13">
        <v>1.8618734479744107E-2</v>
      </c>
    </row>
    <row r="345" spans="18:19" x14ac:dyDescent="0.45">
      <c r="R345">
        <v>333</v>
      </c>
      <c r="S345" s="13">
        <v>8.8287990997839433E-3</v>
      </c>
    </row>
    <row r="346" spans="18:19" x14ac:dyDescent="0.45">
      <c r="R346">
        <v>334</v>
      </c>
      <c r="S346" s="13">
        <v>2.5580610679061404E-2</v>
      </c>
    </row>
    <row r="347" spans="18:19" x14ac:dyDescent="0.45">
      <c r="R347">
        <v>335</v>
      </c>
      <c r="S347" s="13">
        <v>1.4896748694424547E-2</v>
      </c>
    </row>
    <row r="348" spans="18:19" x14ac:dyDescent="0.45">
      <c r="R348">
        <v>336</v>
      </c>
      <c r="S348" s="13">
        <v>1.8933602150408638E-2</v>
      </c>
    </row>
    <row r="349" spans="18:19" x14ac:dyDescent="0.45">
      <c r="R349">
        <v>337</v>
      </c>
      <c r="S349" s="13">
        <v>2.2580777303597692E-2</v>
      </c>
    </row>
    <row r="350" spans="18:19" x14ac:dyDescent="0.45">
      <c r="R350">
        <v>338</v>
      </c>
      <c r="S350" s="13">
        <v>-1.775586437140441E-3</v>
      </c>
    </row>
    <row r="351" spans="18:19" x14ac:dyDescent="0.45">
      <c r="R351">
        <v>339</v>
      </c>
      <c r="S351" s="13">
        <v>5.9187753073782507E-3</v>
      </c>
    </row>
    <row r="352" spans="18:19" x14ac:dyDescent="0.45">
      <c r="R352">
        <v>340</v>
      </c>
      <c r="S352" s="13">
        <v>2.2454162839795226E-2</v>
      </c>
    </row>
    <row r="353" spans="18:19" x14ac:dyDescent="0.45">
      <c r="R353">
        <v>341</v>
      </c>
      <c r="S353" s="13">
        <v>2.1760963130752535E-2</v>
      </c>
    </row>
    <row r="354" spans="18:19" x14ac:dyDescent="0.45">
      <c r="R354">
        <v>342</v>
      </c>
      <c r="S354" s="13">
        <v>3.4208541885825859E-2</v>
      </c>
    </row>
    <row r="355" spans="18:19" x14ac:dyDescent="0.45">
      <c r="R355">
        <v>343</v>
      </c>
      <c r="S355" s="13">
        <v>1.3861681592695997E-2</v>
      </c>
    </row>
    <row r="356" spans="18:19" x14ac:dyDescent="0.45">
      <c r="R356">
        <v>344</v>
      </c>
      <c r="S356" s="13">
        <v>1.3464994294667295E-2</v>
      </c>
    </row>
    <row r="357" spans="18:19" x14ac:dyDescent="0.45">
      <c r="R357">
        <v>345</v>
      </c>
      <c r="S357" s="13">
        <v>1.2925360223265292E-2</v>
      </c>
    </row>
    <row r="358" spans="18:19" x14ac:dyDescent="0.45">
      <c r="R358">
        <v>346</v>
      </c>
      <c r="S358" s="13">
        <v>1.449468018561936E-2</v>
      </c>
    </row>
    <row r="359" spans="18:19" x14ac:dyDescent="0.45">
      <c r="R359">
        <v>347</v>
      </c>
      <c r="S359" s="13">
        <v>1.9294646336291608E-2</v>
      </c>
    </row>
    <row r="360" spans="18:19" x14ac:dyDescent="0.45">
      <c r="R360">
        <v>348</v>
      </c>
      <c r="S360" s="13">
        <v>1.8441833732305835E-2</v>
      </c>
    </row>
    <row r="361" spans="18:19" x14ac:dyDescent="0.45">
      <c r="R361">
        <v>349</v>
      </c>
      <c r="S361" s="13">
        <v>3.0339548666080983E-2</v>
      </c>
    </row>
    <row r="362" spans="18:19" x14ac:dyDescent="0.45">
      <c r="R362">
        <v>350</v>
      </c>
      <c r="S362" s="13">
        <v>1.4780280237932783E-2</v>
      </c>
    </row>
    <row r="363" spans="18:19" x14ac:dyDescent="0.45">
      <c r="R363">
        <v>351</v>
      </c>
      <c r="S363" s="13">
        <v>1.9244509459158277E-2</v>
      </c>
    </row>
    <row r="364" spans="18:19" x14ac:dyDescent="0.45">
      <c r="R364">
        <v>352</v>
      </c>
      <c r="S364" s="13">
        <v>7.8189822115383497E-3</v>
      </c>
    </row>
    <row r="365" spans="18:19" x14ac:dyDescent="0.45">
      <c r="R365">
        <v>353</v>
      </c>
      <c r="S365" s="13">
        <v>1.5796205667157268E-3</v>
      </c>
    </row>
    <row r="366" spans="18:19" x14ac:dyDescent="0.45">
      <c r="R366">
        <v>354</v>
      </c>
      <c r="S366" s="13">
        <v>1.3844751363499701E-2</v>
      </c>
    </row>
    <row r="367" spans="18:19" x14ac:dyDescent="0.45">
      <c r="R367">
        <v>355</v>
      </c>
      <c r="S367" s="13">
        <v>-2.9046946983512789E-3</v>
      </c>
    </row>
    <row r="368" spans="18:19" x14ac:dyDescent="0.45">
      <c r="R368">
        <v>356</v>
      </c>
      <c r="S368" s="13">
        <v>2.4474364770686746E-2</v>
      </c>
    </row>
    <row r="369" spans="18:19" x14ac:dyDescent="0.45">
      <c r="R369">
        <v>357</v>
      </c>
      <c r="S369" s="13">
        <v>-1.0761307949539722E-3</v>
      </c>
    </row>
    <row r="370" spans="18:19" x14ac:dyDescent="0.45">
      <c r="R370">
        <v>358</v>
      </c>
      <c r="S370" s="13">
        <v>2.0533457973682532E-2</v>
      </c>
    </row>
    <row r="371" spans="18:19" x14ac:dyDescent="0.45">
      <c r="R371">
        <v>359</v>
      </c>
      <c r="S371" s="13">
        <v>3.6847915426520397E-2</v>
      </c>
    </row>
    <row r="372" spans="18:19" x14ac:dyDescent="0.45">
      <c r="R372">
        <v>360</v>
      </c>
      <c r="S372" s="13">
        <v>8.3636281710174308E-3</v>
      </c>
    </row>
    <row r="373" spans="18:19" x14ac:dyDescent="0.45">
      <c r="R373">
        <v>361</v>
      </c>
      <c r="S373" s="13">
        <v>1.5235386279464875E-2</v>
      </c>
    </row>
    <row r="374" spans="18:19" x14ac:dyDescent="0.45">
      <c r="R374">
        <v>362</v>
      </c>
      <c r="S374" s="13">
        <v>6.5011660245854787E-3</v>
      </c>
    </row>
    <row r="375" spans="18:19" x14ac:dyDescent="0.45">
      <c r="R375">
        <v>363</v>
      </c>
      <c r="S375" s="13">
        <v>1.918351976685401E-2</v>
      </c>
    </row>
    <row r="376" spans="18:19" x14ac:dyDescent="0.45">
      <c r="R376">
        <v>364</v>
      </c>
      <c r="S376" s="13">
        <v>2.7240219470467685E-2</v>
      </c>
    </row>
    <row r="377" spans="18:19" x14ac:dyDescent="0.45">
      <c r="R377">
        <v>365</v>
      </c>
      <c r="S377" s="13">
        <v>2.4274337626950485E-2</v>
      </c>
    </row>
    <row r="378" spans="18:19" x14ac:dyDescent="0.45">
      <c r="R378">
        <v>366</v>
      </c>
      <c r="S378" s="13">
        <v>1.5953516693055916E-2</v>
      </c>
    </row>
    <row r="379" spans="18:19" x14ac:dyDescent="0.45">
      <c r="R379">
        <v>367</v>
      </c>
      <c r="S379" s="13">
        <v>1.7467138576807043E-2</v>
      </c>
    </row>
    <row r="380" spans="18:19" x14ac:dyDescent="0.45">
      <c r="R380">
        <v>368</v>
      </c>
      <c r="S380" s="13">
        <v>1.430462774157264E-2</v>
      </c>
    </row>
    <row r="381" spans="18:19" x14ac:dyDescent="0.45">
      <c r="R381">
        <v>369</v>
      </c>
      <c r="S381" s="13">
        <v>2.4144797667042119E-2</v>
      </c>
    </row>
    <row r="382" spans="18:19" x14ac:dyDescent="0.45">
      <c r="R382">
        <v>370</v>
      </c>
      <c r="S382" s="13">
        <v>2.448721732457735E-2</v>
      </c>
    </row>
    <row r="383" spans="18:19" x14ac:dyDescent="0.45">
      <c r="R383">
        <v>371</v>
      </c>
      <c r="S383" s="13">
        <v>2.1971003976293178E-2</v>
      </c>
    </row>
    <row r="384" spans="18:19" x14ac:dyDescent="0.45">
      <c r="R384">
        <v>372</v>
      </c>
      <c r="S384" s="13">
        <v>3.8603823804441113E-2</v>
      </c>
    </row>
    <row r="385" spans="18:19" x14ac:dyDescent="0.45">
      <c r="R385">
        <v>373</v>
      </c>
      <c r="S385" s="13">
        <v>3.8659321570629575E-2</v>
      </c>
    </row>
    <row r="386" spans="18:19" x14ac:dyDescent="0.45">
      <c r="R386">
        <v>374</v>
      </c>
      <c r="S386" s="13">
        <v>2.3342985285387884E-2</v>
      </c>
    </row>
    <row r="387" spans="18:19" x14ac:dyDescent="0.45">
      <c r="R387">
        <v>375</v>
      </c>
      <c r="S387" s="13">
        <v>3.3618933662660361E-2</v>
      </c>
    </row>
    <row r="388" spans="18:19" x14ac:dyDescent="0.45">
      <c r="R388">
        <v>376</v>
      </c>
      <c r="S388" s="13">
        <v>2.757670322533497E-2</v>
      </c>
    </row>
    <row r="389" spans="18:19" x14ac:dyDescent="0.45">
      <c r="R389">
        <v>377</v>
      </c>
      <c r="S389" s="13">
        <v>1.1529531502102237E-2</v>
      </c>
    </row>
    <row r="390" spans="18:19" x14ac:dyDescent="0.45">
      <c r="R390">
        <v>378</v>
      </c>
      <c r="S390" s="13">
        <v>3.2408809786762874E-2</v>
      </c>
    </row>
    <row r="391" spans="18:19" x14ac:dyDescent="0.45">
      <c r="R391">
        <v>379</v>
      </c>
      <c r="S391" s="13">
        <v>3.2160318017709091E-2</v>
      </c>
    </row>
    <row r="392" spans="18:19" x14ac:dyDescent="0.45">
      <c r="R392">
        <v>380</v>
      </c>
      <c r="S392" s="13">
        <v>2.5949442885937458E-2</v>
      </c>
    </row>
    <row r="393" spans="18:19" x14ac:dyDescent="0.45">
      <c r="R393">
        <v>381</v>
      </c>
      <c r="S393" s="13">
        <v>2.9117781087293418E-2</v>
      </c>
    </row>
    <row r="394" spans="18:19" x14ac:dyDescent="0.45">
      <c r="R394">
        <v>382</v>
      </c>
      <c r="S394" s="13">
        <v>2.3364920355092345E-2</v>
      </c>
    </row>
    <row r="395" spans="18:19" x14ac:dyDescent="0.45">
      <c r="R395">
        <v>383</v>
      </c>
      <c r="S395" s="13">
        <v>7.3449271452886225E-3</v>
      </c>
    </row>
    <row r="396" spans="18:19" x14ac:dyDescent="0.45">
      <c r="R396">
        <v>384</v>
      </c>
      <c r="S396" s="13">
        <v>1.4701309550488444E-2</v>
      </c>
    </row>
    <row r="397" spans="18:19" x14ac:dyDescent="0.45">
      <c r="R397">
        <v>385</v>
      </c>
      <c r="S397" s="13">
        <v>1.7470100446136162E-2</v>
      </c>
    </row>
    <row r="398" spans="18:19" x14ac:dyDescent="0.45">
      <c r="R398">
        <v>386</v>
      </c>
      <c r="S398" s="13">
        <v>1.9697375841245476E-2</v>
      </c>
    </row>
    <row r="399" spans="18:19" x14ac:dyDescent="0.45">
      <c r="R399">
        <v>387</v>
      </c>
      <c r="S399" s="13">
        <v>1.1953877284923444E-2</v>
      </c>
    </row>
    <row r="400" spans="18:19" x14ac:dyDescent="0.45">
      <c r="R400">
        <v>388</v>
      </c>
      <c r="S400" s="13">
        <v>1.8533070975776608E-2</v>
      </c>
    </row>
    <row r="401" spans="18:19" x14ac:dyDescent="0.45">
      <c r="R401">
        <v>389</v>
      </c>
      <c r="S401" s="13">
        <v>1.4260968409977568E-2</v>
      </c>
    </row>
    <row r="402" spans="18:19" x14ac:dyDescent="0.45">
      <c r="R402">
        <v>390</v>
      </c>
      <c r="S402" s="13">
        <v>1.9036482911787177E-2</v>
      </c>
    </row>
    <row r="403" spans="18:19" x14ac:dyDescent="0.45">
      <c r="R403">
        <v>391</v>
      </c>
      <c r="S403" s="13">
        <v>2.3608566989883721E-2</v>
      </c>
    </row>
    <row r="404" spans="18:19" x14ac:dyDescent="0.45">
      <c r="R404">
        <v>392</v>
      </c>
      <c r="S404" s="13">
        <v>1.994939219979194E-2</v>
      </c>
    </row>
    <row r="405" spans="18:19" x14ac:dyDescent="0.45">
      <c r="R405">
        <v>393</v>
      </c>
      <c r="S405" s="13">
        <v>1.6003320194438665E-2</v>
      </c>
    </row>
    <row r="406" spans="18:19" x14ac:dyDescent="0.45">
      <c r="R406">
        <v>394</v>
      </c>
      <c r="S406" s="13">
        <v>2.2235837021124409E-2</v>
      </c>
    </row>
    <row r="407" spans="18:19" x14ac:dyDescent="0.45">
      <c r="R407">
        <v>395</v>
      </c>
      <c r="S407" s="13">
        <v>4.6334695685162249E-3</v>
      </c>
    </row>
    <row r="408" spans="18:19" x14ac:dyDescent="0.45">
      <c r="R408">
        <v>396</v>
      </c>
      <c r="S408" s="13">
        <v>1.815154752493486E-2</v>
      </c>
    </row>
    <row r="409" spans="18:19" x14ac:dyDescent="0.45">
      <c r="R409">
        <v>397</v>
      </c>
      <c r="S409" s="13">
        <v>1.3041634349118758E-2</v>
      </c>
    </row>
    <row r="410" spans="18:19" x14ac:dyDescent="0.45">
      <c r="R410">
        <v>398</v>
      </c>
      <c r="S410" s="13">
        <v>1.9322052620457591E-2</v>
      </c>
    </row>
    <row r="411" spans="18:19" x14ac:dyDescent="0.45">
      <c r="R411">
        <v>399</v>
      </c>
      <c r="S411" s="13">
        <v>2.4613271030189465E-2</v>
      </c>
    </row>
    <row r="412" spans="18:19" x14ac:dyDescent="0.45">
      <c r="R412">
        <v>400</v>
      </c>
      <c r="S412" s="13">
        <v>1.7567458245054731E-2</v>
      </c>
    </row>
    <row r="413" spans="18:19" x14ac:dyDescent="0.45">
      <c r="R413">
        <v>401</v>
      </c>
      <c r="S413" s="13">
        <v>1.3487055600460422E-2</v>
      </c>
    </row>
    <row r="414" spans="18:19" x14ac:dyDescent="0.45">
      <c r="R414">
        <v>402</v>
      </c>
      <c r="S414" s="13">
        <v>1.6184983323640635E-2</v>
      </c>
    </row>
    <row r="415" spans="18:19" x14ac:dyDescent="0.45">
      <c r="R415">
        <v>403</v>
      </c>
      <c r="S415" s="13">
        <v>1.5026170206488408E-2</v>
      </c>
    </row>
    <row r="416" spans="18:19" x14ac:dyDescent="0.45">
      <c r="R416">
        <v>404</v>
      </c>
      <c r="S416" s="13">
        <v>2.1472055129998509E-2</v>
      </c>
    </row>
    <row r="417" spans="18:19" x14ac:dyDescent="0.45">
      <c r="R417">
        <v>405</v>
      </c>
      <c r="S417" s="13">
        <v>1.9695640511017659E-2</v>
      </c>
    </row>
    <row r="418" spans="18:19" x14ac:dyDescent="0.45">
      <c r="R418">
        <v>406</v>
      </c>
      <c r="S418" s="13">
        <v>1.1667048428234579E-3</v>
      </c>
    </row>
    <row r="419" spans="18:19" x14ac:dyDescent="0.45">
      <c r="R419">
        <v>407</v>
      </c>
      <c r="S419" s="13">
        <v>2.7636183328770339E-2</v>
      </c>
    </row>
    <row r="420" spans="18:19" x14ac:dyDescent="0.45">
      <c r="R420">
        <v>408</v>
      </c>
      <c r="S420" s="13">
        <v>2.5264557222913726E-2</v>
      </c>
    </row>
    <row r="421" spans="18:19" x14ac:dyDescent="0.45">
      <c r="R421">
        <v>409</v>
      </c>
      <c r="S421" s="13">
        <v>2.0659531573524403E-2</v>
      </c>
    </row>
    <row r="422" spans="18:19" x14ac:dyDescent="0.45">
      <c r="R422">
        <v>410</v>
      </c>
      <c r="S422" s="13">
        <v>4.0120054608148284E-2</v>
      </c>
    </row>
    <row r="423" spans="18:19" x14ac:dyDescent="0.45">
      <c r="R423">
        <v>411</v>
      </c>
      <c r="S423" s="13">
        <v>1.5196545514989494E-3</v>
      </c>
    </row>
    <row r="424" spans="18:19" x14ac:dyDescent="0.45">
      <c r="R424">
        <v>412</v>
      </c>
      <c r="S424" s="13">
        <v>9.5541367080094596E-3</v>
      </c>
    </row>
    <row r="425" spans="18:19" x14ac:dyDescent="0.45">
      <c r="R425">
        <v>413</v>
      </c>
      <c r="S425" s="13">
        <v>3.1566835848858089E-2</v>
      </c>
    </row>
    <row r="426" spans="18:19" x14ac:dyDescent="0.45">
      <c r="R426">
        <v>414</v>
      </c>
      <c r="S426" s="13">
        <v>3.017779759027555E-2</v>
      </c>
    </row>
    <row r="427" spans="18:19" x14ac:dyDescent="0.45">
      <c r="R427">
        <v>415</v>
      </c>
      <c r="S427" s="13">
        <v>1.4955742527783781E-2</v>
      </c>
    </row>
    <row r="428" spans="18:19" x14ac:dyDescent="0.45">
      <c r="R428">
        <v>416</v>
      </c>
      <c r="S428" s="13">
        <v>1.9882860948153142E-2</v>
      </c>
    </row>
    <row r="429" spans="18:19" x14ac:dyDescent="0.45">
      <c r="R429">
        <v>417</v>
      </c>
      <c r="S429" s="13">
        <v>1.1220466603347723E-2</v>
      </c>
    </row>
    <row r="430" spans="18:19" x14ac:dyDescent="0.45">
      <c r="R430">
        <v>418</v>
      </c>
      <c r="S430" s="13">
        <v>1.2820671213039493E-2</v>
      </c>
    </row>
    <row r="431" spans="18:19" x14ac:dyDescent="0.45">
      <c r="R431">
        <v>419</v>
      </c>
      <c r="S431" s="13">
        <v>2.9178859639998694E-2</v>
      </c>
    </row>
    <row r="432" spans="18:19" x14ac:dyDescent="0.45">
      <c r="R432">
        <v>420</v>
      </c>
      <c r="S432" s="13">
        <v>5.9213003088566182E-3</v>
      </c>
    </row>
    <row r="433" spans="18:19" x14ac:dyDescent="0.45">
      <c r="R433">
        <v>421</v>
      </c>
      <c r="S433" s="13">
        <v>1.4700241974491834E-2</v>
      </c>
    </row>
    <row r="434" spans="18:19" x14ac:dyDescent="0.45">
      <c r="R434">
        <v>422</v>
      </c>
      <c r="S434" s="13">
        <v>-2.9295261188396551E-3</v>
      </c>
    </row>
    <row r="435" spans="18:19" x14ac:dyDescent="0.45">
      <c r="R435">
        <v>423</v>
      </c>
      <c r="S435" s="13">
        <v>2.6319147701689014E-2</v>
      </c>
    </row>
    <row r="436" spans="18:19" x14ac:dyDescent="0.45">
      <c r="R436">
        <v>424</v>
      </c>
      <c r="S436" s="13">
        <v>1.953874757171652E-2</v>
      </c>
    </row>
    <row r="437" spans="18:19" x14ac:dyDescent="0.45">
      <c r="R437">
        <v>425</v>
      </c>
      <c r="S437" s="13">
        <v>2.0083461574023544E-2</v>
      </c>
    </row>
    <row r="438" spans="18:19" x14ac:dyDescent="0.45">
      <c r="R438">
        <v>426</v>
      </c>
      <c r="S438" s="13">
        <v>2.6545701362469983E-2</v>
      </c>
    </row>
    <row r="439" spans="18:19" x14ac:dyDescent="0.45">
      <c r="R439">
        <v>427</v>
      </c>
      <c r="S439" s="13">
        <v>1.7641376800728335E-2</v>
      </c>
    </row>
    <row r="440" spans="18:19" x14ac:dyDescent="0.45">
      <c r="R440">
        <v>428</v>
      </c>
      <c r="S440" s="13">
        <v>3.3988646452245072E-2</v>
      </c>
    </row>
    <row r="441" spans="18:19" x14ac:dyDescent="0.45">
      <c r="R441">
        <v>429</v>
      </c>
      <c r="S441" s="13">
        <v>2.1001829633655128E-2</v>
      </c>
    </row>
    <row r="442" spans="18:19" x14ac:dyDescent="0.45">
      <c r="R442">
        <v>430</v>
      </c>
      <c r="S442" s="13">
        <v>3.888765842177816E-3</v>
      </c>
    </row>
    <row r="443" spans="18:19" x14ac:dyDescent="0.45">
      <c r="R443">
        <v>431</v>
      </c>
      <c r="S443" s="13">
        <v>3.3782508096915319E-2</v>
      </c>
    </row>
    <row r="444" spans="18:19" x14ac:dyDescent="0.45">
      <c r="R444">
        <v>432</v>
      </c>
      <c r="S444" s="13">
        <v>3.3425666493608494E-2</v>
      </c>
    </row>
    <row r="445" spans="18:19" x14ac:dyDescent="0.45">
      <c r="R445">
        <v>433</v>
      </c>
      <c r="S445" s="13">
        <v>1.0445840509190818E-2</v>
      </c>
    </row>
    <row r="446" spans="18:19" x14ac:dyDescent="0.45">
      <c r="R446">
        <v>434</v>
      </c>
      <c r="S446" s="13">
        <v>1.5092750895810254E-2</v>
      </c>
    </row>
    <row r="447" spans="18:19" x14ac:dyDescent="0.45">
      <c r="R447">
        <v>435</v>
      </c>
      <c r="S447" s="13">
        <v>3.9589829796035599E-2</v>
      </c>
    </row>
    <row r="448" spans="18:19" x14ac:dyDescent="0.45">
      <c r="R448">
        <v>436</v>
      </c>
      <c r="S448" s="13">
        <v>9.7340905761448254E-3</v>
      </c>
    </row>
    <row r="449" spans="18:19" x14ac:dyDescent="0.45">
      <c r="R449">
        <v>437</v>
      </c>
      <c r="S449" s="13">
        <v>2.1866375979996938E-2</v>
      </c>
    </row>
    <row r="450" spans="18:19" x14ac:dyDescent="0.45">
      <c r="R450">
        <v>438</v>
      </c>
      <c r="S450" s="13">
        <v>1.5890099366420808E-2</v>
      </c>
    </row>
    <row r="451" spans="18:19" x14ac:dyDescent="0.45">
      <c r="R451">
        <v>439</v>
      </c>
      <c r="S451" s="13">
        <v>2.8413121687753111E-2</v>
      </c>
    </row>
    <row r="452" spans="18:19" x14ac:dyDescent="0.45">
      <c r="R452">
        <v>440</v>
      </c>
      <c r="S452" s="13">
        <v>1.7767820196750148E-2</v>
      </c>
    </row>
    <row r="453" spans="18:19" x14ac:dyDescent="0.45">
      <c r="R453">
        <v>441</v>
      </c>
      <c r="S453" s="13">
        <v>1.4050010750083049E-2</v>
      </c>
    </row>
    <row r="454" spans="18:19" x14ac:dyDescent="0.45">
      <c r="R454">
        <v>442</v>
      </c>
      <c r="S454" s="13">
        <v>2.9229918144466037E-2</v>
      </c>
    </row>
    <row r="455" spans="18:19" x14ac:dyDescent="0.45">
      <c r="R455">
        <v>443</v>
      </c>
      <c r="S455" s="13">
        <v>5.1621476386517016E-3</v>
      </c>
    </row>
    <row r="456" spans="18:19" x14ac:dyDescent="0.45">
      <c r="R456">
        <v>444</v>
      </c>
      <c r="S456" s="13">
        <v>1.3193115926569392E-2</v>
      </c>
    </row>
    <row r="457" spans="18:19" x14ac:dyDescent="0.45">
      <c r="R457">
        <v>445</v>
      </c>
      <c r="S457" s="13">
        <v>2.9504225861523327E-2</v>
      </c>
    </row>
    <row r="458" spans="18:19" x14ac:dyDescent="0.45">
      <c r="R458">
        <v>446</v>
      </c>
      <c r="S458" s="13">
        <v>5.393968518659184E-3</v>
      </c>
    </row>
    <row r="459" spans="18:19" x14ac:dyDescent="0.45">
      <c r="R459">
        <v>447</v>
      </c>
      <c r="S459" s="13">
        <v>2.3901105139596906E-2</v>
      </c>
    </row>
    <row r="460" spans="18:19" x14ac:dyDescent="0.45">
      <c r="R460">
        <v>448</v>
      </c>
      <c r="S460" s="13">
        <v>3.659197193819564E-3</v>
      </c>
    </row>
    <row r="461" spans="18:19" x14ac:dyDescent="0.45">
      <c r="R461">
        <v>449</v>
      </c>
      <c r="S461" s="13">
        <v>3.1626186735040376E-2</v>
      </c>
    </row>
    <row r="462" spans="18:19" x14ac:dyDescent="0.45">
      <c r="R462">
        <v>450</v>
      </c>
      <c r="S462" s="13">
        <v>2.1629391740680355E-2</v>
      </c>
    </row>
    <row r="463" spans="18:19" x14ac:dyDescent="0.45">
      <c r="R463">
        <v>451</v>
      </c>
      <c r="S463" s="13">
        <v>2.5769369321793918E-2</v>
      </c>
    </row>
    <row r="464" spans="18:19" x14ac:dyDescent="0.45">
      <c r="R464">
        <v>452</v>
      </c>
      <c r="S464" s="13">
        <v>3.4179097523548377E-2</v>
      </c>
    </row>
    <row r="465" spans="18:19" x14ac:dyDescent="0.45">
      <c r="R465">
        <v>453</v>
      </c>
      <c r="S465" s="13">
        <v>2.148598406389568E-2</v>
      </c>
    </row>
    <row r="466" spans="18:19" x14ac:dyDescent="0.45">
      <c r="R466">
        <v>454</v>
      </c>
      <c r="S466" s="13">
        <v>8.2579936546240112E-3</v>
      </c>
    </row>
    <row r="467" spans="18:19" x14ac:dyDescent="0.45">
      <c r="R467">
        <v>455</v>
      </c>
      <c r="S467" s="13">
        <v>2.0377488618108112E-2</v>
      </c>
    </row>
    <row r="468" spans="18:19" x14ac:dyDescent="0.45">
      <c r="R468">
        <v>456</v>
      </c>
      <c r="S468" s="13">
        <v>3.4322197511435212E-2</v>
      </c>
    </row>
    <row r="469" spans="18:19" x14ac:dyDescent="0.45">
      <c r="R469">
        <v>457</v>
      </c>
      <c r="S469" s="13">
        <v>2.6426655033792906E-2</v>
      </c>
    </row>
    <row r="470" spans="18:19" x14ac:dyDescent="0.45">
      <c r="R470">
        <v>458</v>
      </c>
      <c r="S470" s="13">
        <v>7.1738236034275156E-3</v>
      </c>
    </row>
    <row r="471" spans="18:19" x14ac:dyDescent="0.45">
      <c r="R471">
        <v>459</v>
      </c>
      <c r="S471" s="13">
        <v>2.844711587522411E-2</v>
      </c>
    </row>
    <row r="472" spans="18:19" x14ac:dyDescent="0.45">
      <c r="R472">
        <v>460</v>
      </c>
      <c r="S472" s="13">
        <v>9.0859039818913297E-3</v>
      </c>
    </row>
    <row r="473" spans="18:19" x14ac:dyDescent="0.45">
      <c r="R473">
        <v>461</v>
      </c>
      <c r="S473" s="13">
        <v>2.413878651719821E-2</v>
      </c>
    </row>
    <row r="474" spans="18:19" x14ac:dyDescent="0.45">
      <c r="R474">
        <v>462</v>
      </c>
      <c r="S474" s="13">
        <v>2.377160432284469E-2</v>
      </c>
    </row>
    <row r="475" spans="18:19" x14ac:dyDescent="0.45">
      <c r="R475">
        <v>463</v>
      </c>
      <c r="S475" s="13">
        <v>2.8412051359134646E-2</v>
      </c>
    </row>
    <row r="476" spans="18:19" x14ac:dyDescent="0.45">
      <c r="R476">
        <v>464</v>
      </c>
      <c r="S476" s="13">
        <v>3.9070074147100828E-3</v>
      </c>
    </row>
    <row r="477" spans="18:19" x14ac:dyDescent="0.45">
      <c r="R477">
        <v>465</v>
      </c>
      <c r="S477" s="13">
        <v>3.6391526921640646E-2</v>
      </c>
    </row>
    <row r="478" spans="18:19" x14ac:dyDescent="0.45">
      <c r="R478">
        <v>466</v>
      </c>
      <c r="S478" s="13">
        <v>1.3866996446097164E-2</v>
      </c>
    </row>
    <row r="479" spans="18:19" x14ac:dyDescent="0.45">
      <c r="R479">
        <v>467</v>
      </c>
      <c r="S479" s="13">
        <v>1.6721537288250446E-2</v>
      </c>
    </row>
    <row r="480" spans="18:19" x14ac:dyDescent="0.45">
      <c r="R480">
        <v>468</v>
      </c>
      <c r="S480" s="13">
        <v>3.0808621893824606E-2</v>
      </c>
    </row>
    <row r="481" spans="18:19" x14ac:dyDescent="0.45">
      <c r="R481">
        <v>469</v>
      </c>
      <c r="S481" s="13">
        <v>2.4486590953940696E-2</v>
      </c>
    </row>
    <row r="482" spans="18:19" x14ac:dyDescent="0.45">
      <c r="R482">
        <v>470</v>
      </c>
      <c r="S482" s="13">
        <v>1.673618107460605E-2</v>
      </c>
    </row>
    <row r="483" spans="18:19" x14ac:dyDescent="0.45">
      <c r="R483">
        <v>471</v>
      </c>
      <c r="S483" s="13">
        <v>1.3780090866098164E-2</v>
      </c>
    </row>
    <row r="484" spans="18:19" x14ac:dyDescent="0.45">
      <c r="R484">
        <v>472</v>
      </c>
      <c r="S484" s="13">
        <v>2.2549429646986925E-2</v>
      </c>
    </row>
    <row r="485" spans="18:19" x14ac:dyDescent="0.45">
      <c r="R485">
        <v>473</v>
      </c>
      <c r="S485" s="13">
        <v>9.9564434668477624E-3</v>
      </c>
    </row>
    <row r="486" spans="18:19" x14ac:dyDescent="0.45">
      <c r="R486">
        <v>474</v>
      </c>
      <c r="S486" s="13">
        <v>5.0476899552032231E-3</v>
      </c>
    </row>
    <row r="487" spans="18:19" x14ac:dyDescent="0.45">
      <c r="R487">
        <v>475</v>
      </c>
      <c r="S487" s="13">
        <v>3.9977583999419947E-2</v>
      </c>
    </row>
    <row r="488" spans="18:19" x14ac:dyDescent="0.45">
      <c r="R488">
        <v>476</v>
      </c>
      <c r="S488" s="13">
        <v>2.2969614986041435E-2</v>
      </c>
    </row>
    <row r="489" spans="18:19" x14ac:dyDescent="0.45">
      <c r="R489">
        <v>477</v>
      </c>
      <c r="S489" s="13">
        <v>2.236588635766543E-2</v>
      </c>
    </row>
    <row r="490" spans="18:19" x14ac:dyDescent="0.45">
      <c r="R490">
        <v>478</v>
      </c>
      <c r="S490" s="13">
        <v>2.1096087983922863E-2</v>
      </c>
    </row>
    <row r="491" spans="18:19" x14ac:dyDescent="0.45">
      <c r="R491">
        <v>479</v>
      </c>
      <c r="S491" s="13">
        <v>1.7200570966898657E-2</v>
      </c>
    </row>
    <row r="492" spans="18:19" x14ac:dyDescent="0.45">
      <c r="R492">
        <v>480</v>
      </c>
      <c r="S492" s="13">
        <v>2.3275040232032477E-2</v>
      </c>
    </row>
    <row r="493" spans="18:19" x14ac:dyDescent="0.45">
      <c r="R493">
        <v>481</v>
      </c>
      <c r="S493" s="13">
        <v>7.438606052874679E-3</v>
      </c>
    </row>
    <row r="494" spans="18:19" x14ac:dyDescent="0.45">
      <c r="R494">
        <v>482</v>
      </c>
      <c r="S494" s="13">
        <v>3.3287339538344306E-2</v>
      </c>
    </row>
    <row r="495" spans="18:19" x14ac:dyDescent="0.45">
      <c r="R495">
        <v>483</v>
      </c>
      <c r="S495" s="13">
        <v>3.1543480422478822E-2</v>
      </c>
    </row>
    <row r="496" spans="18:19" x14ac:dyDescent="0.45">
      <c r="R496">
        <v>484</v>
      </c>
      <c r="S496" s="13">
        <v>-4.6077937449295545E-4</v>
      </c>
    </row>
    <row r="497" spans="18:19" x14ac:dyDescent="0.45">
      <c r="R497">
        <v>485</v>
      </c>
      <c r="S497" s="13">
        <v>1.2755223881542307E-2</v>
      </c>
    </row>
    <row r="498" spans="18:19" x14ac:dyDescent="0.45">
      <c r="R498">
        <v>486</v>
      </c>
      <c r="S498" s="13">
        <v>2.1538485577256003E-2</v>
      </c>
    </row>
    <row r="499" spans="18:19" x14ac:dyDescent="0.45">
      <c r="R499">
        <v>487</v>
      </c>
      <c r="S499" s="13">
        <v>1.4082756172112956E-2</v>
      </c>
    </row>
    <row r="500" spans="18:19" x14ac:dyDescent="0.45">
      <c r="R500">
        <v>488</v>
      </c>
      <c r="S500" s="13">
        <v>8.2847282356046711E-3</v>
      </c>
    </row>
    <row r="501" spans="18:19" x14ac:dyDescent="0.45">
      <c r="R501">
        <v>489</v>
      </c>
      <c r="S501" s="13">
        <v>2.9030290769831959E-2</v>
      </c>
    </row>
    <row r="502" spans="18:19" x14ac:dyDescent="0.45">
      <c r="R502">
        <v>490</v>
      </c>
      <c r="S502" s="13">
        <v>1.8555685039256264E-2</v>
      </c>
    </row>
    <row r="503" spans="18:19" x14ac:dyDescent="0.45">
      <c r="R503">
        <v>491</v>
      </c>
      <c r="S503" s="13">
        <v>1.9788657436151238E-2</v>
      </c>
    </row>
    <row r="504" spans="18:19" x14ac:dyDescent="0.45">
      <c r="R504">
        <v>492</v>
      </c>
      <c r="S504" s="13">
        <v>2.6286129859570198E-2</v>
      </c>
    </row>
    <row r="505" spans="18:19" x14ac:dyDescent="0.45">
      <c r="R505">
        <v>493</v>
      </c>
      <c r="S505" s="13">
        <v>2.2622209071920023E-2</v>
      </c>
    </row>
    <row r="506" spans="18:19" x14ac:dyDescent="0.45">
      <c r="R506">
        <v>494</v>
      </c>
      <c r="S506" s="13">
        <v>2.5442405078670221E-2</v>
      </c>
    </row>
    <row r="507" spans="18:19" x14ac:dyDescent="0.45">
      <c r="R507">
        <v>495</v>
      </c>
      <c r="S507" s="13">
        <v>1.1585117659736899E-2</v>
      </c>
    </row>
    <row r="508" spans="18:19" x14ac:dyDescent="0.45">
      <c r="R508">
        <v>496</v>
      </c>
      <c r="S508" s="13">
        <v>2.3479319208612567E-2</v>
      </c>
    </row>
    <row r="509" spans="18:19" x14ac:dyDescent="0.45">
      <c r="R509">
        <v>497</v>
      </c>
      <c r="S509" s="13">
        <v>2.9362761815488268E-2</v>
      </c>
    </row>
    <row r="510" spans="18:19" x14ac:dyDescent="0.45">
      <c r="R510">
        <v>498</v>
      </c>
      <c r="S510" s="13">
        <v>2.3802607075551763E-3</v>
      </c>
    </row>
    <row r="511" spans="18:19" x14ac:dyDescent="0.45">
      <c r="R511">
        <v>499</v>
      </c>
      <c r="S511" s="13">
        <v>1.4720705726280222E-2</v>
      </c>
    </row>
    <row r="512" spans="18:19" x14ac:dyDescent="0.45">
      <c r="R512">
        <v>500</v>
      </c>
      <c r="S512" s="13">
        <v>9.9122390606135331E-3</v>
      </c>
    </row>
    <row r="513" spans="18:19" x14ac:dyDescent="0.45">
      <c r="R513">
        <v>501</v>
      </c>
      <c r="S513" s="13">
        <v>2.8455667554041289E-2</v>
      </c>
    </row>
    <row r="514" spans="18:19" x14ac:dyDescent="0.45">
      <c r="R514">
        <v>502</v>
      </c>
      <c r="S514" s="13">
        <v>1.527983675850814E-2</v>
      </c>
    </row>
    <row r="515" spans="18:19" x14ac:dyDescent="0.45">
      <c r="R515">
        <v>503</v>
      </c>
      <c r="S515" s="13">
        <v>1.394164408819378E-2</v>
      </c>
    </row>
    <row r="516" spans="18:19" x14ac:dyDescent="0.45">
      <c r="R516">
        <v>504</v>
      </c>
      <c r="S516" s="13">
        <v>2.9859304595617975E-2</v>
      </c>
    </row>
    <row r="517" spans="18:19" x14ac:dyDescent="0.45">
      <c r="R517">
        <v>505</v>
      </c>
      <c r="S517" s="13">
        <v>2.440057706057306E-2</v>
      </c>
    </row>
    <row r="518" spans="18:19" x14ac:dyDescent="0.45">
      <c r="R518">
        <v>506</v>
      </c>
      <c r="S518" s="13">
        <v>2.410072564145415E-2</v>
      </c>
    </row>
    <row r="519" spans="18:19" x14ac:dyDescent="0.45">
      <c r="R519">
        <v>507</v>
      </c>
      <c r="S519" s="13">
        <v>9.4116234584132735E-3</v>
      </c>
    </row>
    <row r="520" spans="18:19" x14ac:dyDescent="0.45">
      <c r="R520">
        <v>508</v>
      </c>
      <c r="S520" s="13">
        <v>9.4800668638370458E-4</v>
      </c>
    </row>
    <row r="521" spans="18:19" x14ac:dyDescent="0.45">
      <c r="R521">
        <v>509</v>
      </c>
      <c r="S521" s="13">
        <v>1.1143495039642569E-2</v>
      </c>
    </row>
    <row r="522" spans="18:19" x14ac:dyDescent="0.45">
      <c r="R522">
        <v>510</v>
      </c>
      <c r="S522" s="13">
        <v>1.9140074456287577E-2</v>
      </c>
    </row>
    <row r="523" spans="18:19" x14ac:dyDescent="0.45">
      <c r="R523">
        <v>511</v>
      </c>
      <c r="S523" s="13">
        <v>2.0587655884706502E-2</v>
      </c>
    </row>
    <row r="524" spans="18:19" x14ac:dyDescent="0.45">
      <c r="R524">
        <v>512</v>
      </c>
      <c r="S524" s="13">
        <v>-1.6724142585000656E-4</v>
      </c>
    </row>
    <row r="525" spans="18:19" x14ac:dyDescent="0.45">
      <c r="R525">
        <v>513</v>
      </c>
      <c r="S525" s="13">
        <v>2.3804198687518468E-2</v>
      </c>
    </row>
    <row r="526" spans="18:19" x14ac:dyDescent="0.45">
      <c r="R526">
        <v>514</v>
      </c>
      <c r="S526" s="13">
        <v>2.6122475237341545E-2</v>
      </c>
    </row>
    <row r="527" spans="18:19" x14ac:dyDescent="0.45">
      <c r="R527">
        <v>515</v>
      </c>
      <c r="S527" s="13">
        <v>2.6574193056060295E-2</v>
      </c>
    </row>
    <row r="528" spans="18:19" x14ac:dyDescent="0.45">
      <c r="R528">
        <v>516</v>
      </c>
      <c r="S528" s="13">
        <v>2.2003060870996786E-2</v>
      </c>
    </row>
    <row r="529" spans="18:19" x14ac:dyDescent="0.45">
      <c r="R529">
        <v>517</v>
      </c>
      <c r="S529" s="13">
        <v>2.2953246232522366E-2</v>
      </c>
    </row>
    <row r="530" spans="18:19" x14ac:dyDescent="0.45">
      <c r="R530">
        <v>518</v>
      </c>
      <c r="S530" s="13">
        <v>3.9643528188884974E-2</v>
      </c>
    </row>
    <row r="531" spans="18:19" x14ac:dyDescent="0.45">
      <c r="R531">
        <v>519</v>
      </c>
      <c r="S531" s="13">
        <v>2.5430912570064412E-3</v>
      </c>
    </row>
    <row r="532" spans="18:19" x14ac:dyDescent="0.45">
      <c r="R532">
        <v>520</v>
      </c>
      <c r="S532" s="13">
        <v>1.7240885084015736E-2</v>
      </c>
    </row>
    <row r="533" spans="18:19" x14ac:dyDescent="0.45">
      <c r="R533">
        <v>521</v>
      </c>
      <c r="S533" s="13">
        <v>2.3412589536625058E-2</v>
      </c>
    </row>
    <row r="534" spans="18:19" x14ac:dyDescent="0.45">
      <c r="R534">
        <v>522</v>
      </c>
      <c r="S534" s="13">
        <v>2.1840607532644687E-2</v>
      </c>
    </row>
    <row r="535" spans="18:19" x14ac:dyDescent="0.45">
      <c r="R535">
        <v>523</v>
      </c>
      <c r="S535" s="13">
        <v>2.7676532257153139E-2</v>
      </c>
    </row>
    <row r="536" spans="18:19" x14ac:dyDescent="0.45">
      <c r="R536">
        <v>524</v>
      </c>
      <c r="S536" s="13">
        <v>2.4252572532136019E-2</v>
      </c>
    </row>
    <row r="537" spans="18:19" x14ac:dyDescent="0.45">
      <c r="R537">
        <v>525</v>
      </c>
      <c r="S537" s="13">
        <v>1.7729658378103884E-2</v>
      </c>
    </row>
    <row r="538" spans="18:19" x14ac:dyDescent="0.45">
      <c r="R538">
        <v>526</v>
      </c>
      <c r="S538" s="13">
        <v>2.9067525715979921E-2</v>
      </c>
    </row>
    <row r="539" spans="18:19" x14ac:dyDescent="0.45">
      <c r="R539">
        <v>527</v>
      </c>
      <c r="S539" s="13">
        <v>1.5062052451061365E-2</v>
      </c>
    </row>
    <row r="540" spans="18:19" x14ac:dyDescent="0.45">
      <c r="R540">
        <v>528</v>
      </c>
      <c r="S540" s="13">
        <v>3.3041329241084327E-2</v>
      </c>
    </row>
    <row r="541" spans="18:19" x14ac:dyDescent="0.45">
      <c r="R541">
        <v>529</v>
      </c>
      <c r="S541" s="13">
        <v>4.9777926250008913E-3</v>
      </c>
    </row>
    <row r="542" spans="18:19" x14ac:dyDescent="0.45">
      <c r="R542">
        <v>530</v>
      </c>
      <c r="S542" s="13">
        <v>1.6698460907950716E-2</v>
      </c>
    </row>
    <row r="543" spans="18:19" x14ac:dyDescent="0.45">
      <c r="R543">
        <v>531</v>
      </c>
      <c r="S543" s="13">
        <v>4.2420445119927611E-2</v>
      </c>
    </row>
    <row r="544" spans="18:19" x14ac:dyDescent="0.45">
      <c r="R544">
        <v>532</v>
      </c>
      <c r="S544" s="13">
        <v>1.2924249193047089E-2</v>
      </c>
    </row>
    <row r="545" spans="18:19" x14ac:dyDescent="0.45">
      <c r="R545">
        <v>533</v>
      </c>
      <c r="S545" s="13">
        <v>1.550800075035251E-2</v>
      </c>
    </row>
    <row r="546" spans="18:19" x14ac:dyDescent="0.45">
      <c r="R546">
        <v>534</v>
      </c>
      <c r="S546" s="13">
        <v>2.0441038612446637E-2</v>
      </c>
    </row>
    <row r="547" spans="18:19" x14ac:dyDescent="0.45">
      <c r="R547">
        <v>535</v>
      </c>
      <c r="S547" s="13">
        <v>1.4538225706086146E-2</v>
      </c>
    </row>
    <row r="548" spans="18:19" x14ac:dyDescent="0.45">
      <c r="R548">
        <v>536</v>
      </c>
      <c r="S548" s="13">
        <v>2.8724366667686019E-2</v>
      </c>
    </row>
    <row r="549" spans="18:19" x14ac:dyDescent="0.45">
      <c r="R549">
        <v>537</v>
      </c>
      <c r="S549" s="13">
        <v>2.7560448680369037E-2</v>
      </c>
    </row>
    <row r="550" spans="18:19" x14ac:dyDescent="0.45">
      <c r="R550">
        <v>538</v>
      </c>
      <c r="S550" s="13">
        <v>2.6344903970258335E-2</v>
      </c>
    </row>
    <row r="551" spans="18:19" x14ac:dyDescent="0.45">
      <c r="R551">
        <v>539</v>
      </c>
      <c r="S551" s="13">
        <v>2.0096697651670978E-2</v>
      </c>
    </row>
    <row r="552" spans="18:19" x14ac:dyDescent="0.45">
      <c r="R552">
        <v>540</v>
      </c>
      <c r="S552" s="13">
        <v>2.000987515249936E-2</v>
      </c>
    </row>
    <row r="553" spans="18:19" x14ac:dyDescent="0.45">
      <c r="R553">
        <v>541</v>
      </c>
      <c r="S553" s="13">
        <v>2.0358140660612464E-2</v>
      </c>
    </row>
    <row r="554" spans="18:19" x14ac:dyDescent="0.45">
      <c r="R554">
        <v>542</v>
      </c>
      <c r="S554" s="13">
        <v>3.0874612198412026E-2</v>
      </c>
    </row>
    <row r="555" spans="18:19" x14ac:dyDescent="0.45">
      <c r="R555">
        <v>543</v>
      </c>
      <c r="S555" s="13">
        <v>-5.1796350902785088E-4</v>
      </c>
    </row>
    <row r="556" spans="18:19" x14ac:dyDescent="0.45">
      <c r="R556">
        <v>544</v>
      </c>
      <c r="S556" s="13">
        <v>1.7125486911311036E-2</v>
      </c>
    </row>
    <row r="557" spans="18:19" x14ac:dyDescent="0.45">
      <c r="R557">
        <v>545</v>
      </c>
      <c r="S557" s="13">
        <v>1.8254117165328074E-2</v>
      </c>
    </row>
    <row r="558" spans="18:19" x14ac:dyDescent="0.45">
      <c r="R558">
        <v>546</v>
      </c>
      <c r="S558" s="13">
        <v>7.9402342069078858E-3</v>
      </c>
    </row>
    <row r="559" spans="18:19" x14ac:dyDescent="0.45">
      <c r="R559">
        <v>547</v>
      </c>
      <c r="S559" s="13">
        <v>1.8112440240294014E-2</v>
      </c>
    </row>
    <row r="560" spans="18:19" x14ac:dyDescent="0.45">
      <c r="R560">
        <v>548</v>
      </c>
      <c r="S560" s="13">
        <v>2.902253114103466E-2</v>
      </c>
    </row>
    <row r="561" spans="18:19" x14ac:dyDescent="0.45">
      <c r="R561">
        <v>549</v>
      </c>
      <c r="S561" s="13">
        <v>3.5197304901168375E-2</v>
      </c>
    </row>
    <row r="562" spans="18:19" x14ac:dyDescent="0.45">
      <c r="R562">
        <v>550</v>
      </c>
      <c r="S562" s="13">
        <v>9.8579624823308658E-3</v>
      </c>
    </row>
    <row r="563" spans="18:19" x14ac:dyDescent="0.45">
      <c r="R563">
        <v>551</v>
      </c>
      <c r="S563" s="13">
        <v>1.0031339663800432E-2</v>
      </c>
    </row>
    <row r="564" spans="18:19" x14ac:dyDescent="0.45">
      <c r="R564">
        <v>552</v>
      </c>
      <c r="S564" s="13">
        <v>2.8454172958178613E-2</v>
      </c>
    </row>
    <row r="565" spans="18:19" x14ac:dyDescent="0.45">
      <c r="R565">
        <v>553</v>
      </c>
      <c r="S565" s="13">
        <v>1.4015241946930466E-2</v>
      </c>
    </row>
    <row r="566" spans="18:19" x14ac:dyDescent="0.45">
      <c r="R566">
        <v>554</v>
      </c>
      <c r="S566" s="13">
        <v>2.6224974962845603E-2</v>
      </c>
    </row>
    <row r="567" spans="18:19" x14ac:dyDescent="0.45">
      <c r="R567">
        <v>555</v>
      </c>
      <c r="S567" s="13">
        <v>2.2213165466374182E-2</v>
      </c>
    </row>
    <row r="568" spans="18:19" x14ac:dyDescent="0.45">
      <c r="R568">
        <v>556</v>
      </c>
      <c r="S568" s="13">
        <v>2.1688769514116489E-2</v>
      </c>
    </row>
    <row r="569" spans="18:19" x14ac:dyDescent="0.45">
      <c r="R569">
        <v>557</v>
      </c>
      <c r="S569" s="13">
        <v>3.6697756435880122E-2</v>
      </c>
    </row>
    <row r="570" spans="18:19" x14ac:dyDescent="0.45">
      <c r="R570">
        <v>558</v>
      </c>
      <c r="S570" s="13">
        <v>-2.0469972347163731E-3</v>
      </c>
    </row>
    <row r="571" spans="18:19" x14ac:dyDescent="0.45">
      <c r="R571">
        <v>559</v>
      </c>
      <c r="S571" s="13">
        <v>3.6187429285370942E-2</v>
      </c>
    </row>
    <row r="572" spans="18:19" x14ac:dyDescent="0.45">
      <c r="R572">
        <v>560</v>
      </c>
      <c r="S572" s="13">
        <v>2.231637049720198E-2</v>
      </c>
    </row>
    <row r="573" spans="18:19" x14ac:dyDescent="0.45">
      <c r="R573">
        <v>561</v>
      </c>
      <c r="S573" s="13">
        <v>1.9642536419649623E-2</v>
      </c>
    </row>
    <row r="574" spans="18:19" x14ac:dyDescent="0.45">
      <c r="R574">
        <v>562</v>
      </c>
      <c r="S574" s="13">
        <v>3.3646908979756286E-2</v>
      </c>
    </row>
    <row r="575" spans="18:19" x14ac:dyDescent="0.45">
      <c r="R575">
        <v>563</v>
      </c>
      <c r="S575" s="13">
        <v>2.0173367048576207E-2</v>
      </c>
    </row>
    <row r="576" spans="18:19" x14ac:dyDescent="0.45">
      <c r="R576">
        <v>564</v>
      </c>
      <c r="S576" s="13">
        <v>3.3471708847014704E-2</v>
      </c>
    </row>
    <row r="577" spans="18:19" x14ac:dyDescent="0.45">
      <c r="R577">
        <v>565</v>
      </c>
      <c r="S577" s="13">
        <v>2.3106374629253596E-2</v>
      </c>
    </row>
    <row r="578" spans="18:19" x14ac:dyDescent="0.45">
      <c r="R578">
        <v>566</v>
      </c>
      <c r="S578" s="13">
        <v>1.28460378899299E-2</v>
      </c>
    </row>
    <row r="579" spans="18:19" x14ac:dyDescent="0.45">
      <c r="R579">
        <v>567</v>
      </c>
      <c r="S579" s="13">
        <v>9.9178363899835378E-4</v>
      </c>
    </row>
    <row r="580" spans="18:19" x14ac:dyDescent="0.45">
      <c r="R580">
        <v>568</v>
      </c>
      <c r="S580" s="13">
        <v>2.8585507740774875E-2</v>
      </c>
    </row>
    <row r="581" spans="18:19" x14ac:dyDescent="0.45">
      <c r="R581">
        <v>569</v>
      </c>
      <c r="S581" s="13">
        <v>-3.9638847559214131E-3</v>
      </c>
    </row>
    <row r="582" spans="18:19" x14ac:dyDescent="0.45">
      <c r="R582">
        <v>570</v>
      </c>
      <c r="S582" s="13">
        <v>4.6581401154001927E-3</v>
      </c>
    </row>
    <row r="583" spans="18:19" x14ac:dyDescent="0.45">
      <c r="R583">
        <v>571</v>
      </c>
      <c r="S583" s="13">
        <v>1.9602526534918147E-2</v>
      </c>
    </row>
    <row r="584" spans="18:19" x14ac:dyDescent="0.45">
      <c r="R584">
        <v>572</v>
      </c>
      <c r="S584" s="13">
        <v>6.2772527827471801E-3</v>
      </c>
    </row>
    <row r="585" spans="18:19" x14ac:dyDescent="0.45">
      <c r="R585">
        <v>573</v>
      </c>
      <c r="S585" s="13">
        <v>5.0444103581619212E-3</v>
      </c>
    </row>
    <row r="586" spans="18:19" x14ac:dyDescent="0.45">
      <c r="R586">
        <v>574</v>
      </c>
      <c r="S586" s="13">
        <v>4.1820575188685358E-2</v>
      </c>
    </row>
    <row r="587" spans="18:19" x14ac:dyDescent="0.45">
      <c r="R587">
        <v>575</v>
      </c>
      <c r="S587" s="13">
        <v>1.5167451912976769E-2</v>
      </c>
    </row>
    <row r="588" spans="18:19" x14ac:dyDescent="0.45">
      <c r="R588">
        <v>576</v>
      </c>
      <c r="S588" s="13">
        <v>2.326010925794969E-2</v>
      </c>
    </row>
    <row r="589" spans="18:19" x14ac:dyDescent="0.45">
      <c r="R589">
        <v>577</v>
      </c>
      <c r="S589" s="13">
        <v>1.2336782417312835E-2</v>
      </c>
    </row>
    <row r="590" spans="18:19" x14ac:dyDescent="0.45">
      <c r="R590">
        <v>578</v>
      </c>
      <c r="S590" s="13">
        <v>1.5114968769123065E-2</v>
      </c>
    </row>
    <row r="591" spans="18:19" x14ac:dyDescent="0.45">
      <c r="R591">
        <v>579</v>
      </c>
      <c r="S591" s="13">
        <v>6.5669142789258825E-3</v>
      </c>
    </row>
    <row r="592" spans="18:19" x14ac:dyDescent="0.45">
      <c r="R592">
        <v>580</v>
      </c>
      <c r="S592" s="13">
        <v>1.7367952182381075E-2</v>
      </c>
    </row>
    <row r="593" spans="18:19" x14ac:dyDescent="0.45">
      <c r="R593">
        <v>581</v>
      </c>
      <c r="S593" s="13">
        <v>1.1835897713907367E-2</v>
      </c>
    </row>
    <row r="594" spans="18:19" x14ac:dyDescent="0.45">
      <c r="R594">
        <v>582</v>
      </c>
      <c r="S594" s="13">
        <v>1.1764354573159386E-2</v>
      </c>
    </row>
    <row r="595" spans="18:19" x14ac:dyDescent="0.45">
      <c r="R595">
        <v>583</v>
      </c>
      <c r="S595" s="13">
        <v>2.1681231609855273E-2</v>
      </c>
    </row>
    <row r="596" spans="18:19" x14ac:dyDescent="0.45">
      <c r="R596">
        <v>584</v>
      </c>
      <c r="S596" s="13">
        <v>1.7719398340906266E-2</v>
      </c>
    </row>
    <row r="597" spans="18:19" x14ac:dyDescent="0.45">
      <c r="R597">
        <v>585</v>
      </c>
      <c r="S597" s="13">
        <v>7.3455913281435838E-3</v>
      </c>
    </row>
    <row r="598" spans="18:19" x14ac:dyDescent="0.45">
      <c r="R598">
        <v>586</v>
      </c>
      <c r="S598" s="13">
        <v>1.0253066113996678E-2</v>
      </c>
    </row>
    <row r="599" spans="18:19" x14ac:dyDescent="0.45">
      <c r="R599">
        <v>587</v>
      </c>
      <c r="S599" s="13">
        <v>2.6249849586363724E-2</v>
      </c>
    </row>
    <row r="600" spans="18:19" x14ac:dyDescent="0.45">
      <c r="R600">
        <v>588</v>
      </c>
      <c r="S600" s="13">
        <v>1.3034674847937806E-2</v>
      </c>
    </row>
    <row r="601" spans="18:19" x14ac:dyDescent="0.45">
      <c r="R601">
        <v>589</v>
      </c>
      <c r="S601" s="13">
        <v>2.1692928042939097E-2</v>
      </c>
    </row>
    <row r="602" spans="18:19" x14ac:dyDescent="0.45">
      <c r="R602">
        <v>590</v>
      </c>
      <c r="S602" s="13">
        <v>2.4003373174645445E-2</v>
      </c>
    </row>
    <row r="603" spans="18:19" x14ac:dyDescent="0.45">
      <c r="R603">
        <v>591</v>
      </c>
      <c r="S603" s="13">
        <v>1.6152803360926789E-2</v>
      </c>
    </row>
    <row r="604" spans="18:19" x14ac:dyDescent="0.45">
      <c r="R604">
        <v>592</v>
      </c>
      <c r="S604" s="13">
        <v>9.4451801852643968E-3</v>
      </c>
    </row>
    <row r="605" spans="18:19" x14ac:dyDescent="0.45">
      <c r="R605">
        <v>593</v>
      </c>
      <c r="S605" s="13">
        <v>1.0429508461892787E-2</v>
      </c>
    </row>
    <row r="606" spans="18:19" x14ac:dyDescent="0.45">
      <c r="R606">
        <v>594</v>
      </c>
      <c r="S606" s="13">
        <v>1.8795850137534268E-2</v>
      </c>
    </row>
    <row r="607" spans="18:19" x14ac:dyDescent="0.45">
      <c r="R607">
        <v>595</v>
      </c>
      <c r="S607" s="13">
        <v>1.3470202159930134E-2</v>
      </c>
    </row>
    <row r="608" spans="18:19" x14ac:dyDescent="0.45">
      <c r="R608">
        <v>596</v>
      </c>
      <c r="S608" s="13">
        <v>3.3904917175855934E-2</v>
      </c>
    </row>
    <row r="609" spans="18:19" x14ac:dyDescent="0.45">
      <c r="R609">
        <v>597</v>
      </c>
      <c r="S609" s="13">
        <v>1.8179660444118548E-2</v>
      </c>
    </row>
    <row r="610" spans="18:19" x14ac:dyDescent="0.45">
      <c r="R610">
        <v>598</v>
      </c>
      <c r="S610" s="13">
        <v>3.2121171751562157E-2</v>
      </c>
    </row>
    <row r="611" spans="18:19" x14ac:dyDescent="0.45">
      <c r="R611">
        <v>599</v>
      </c>
      <c r="S611" s="13">
        <v>6.4048084371355757E-3</v>
      </c>
    </row>
    <row r="612" spans="18:19" x14ac:dyDescent="0.45">
      <c r="R612">
        <v>600</v>
      </c>
      <c r="S612" s="13">
        <v>2.1603034770088517E-2</v>
      </c>
    </row>
    <row r="613" spans="18:19" x14ac:dyDescent="0.45">
      <c r="R613">
        <v>601</v>
      </c>
      <c r="S613" s="13">
        <v>1.4910529460873874E-2</v>
      </c>
    </row>
    <row r="614" spans="18:19" x14ac:dyDescent="0.45">
      <c r="R614">
        <v>602</v>
      </c>
      <c r="S614" s="13">
        <v>1.1094757853579143E-2</v>
      </c>
    </row>
    <row r="615" spans="18:19" x14ac:dyDescent="0.45">
      <c r="R615">
        <v>603</v>
      </c>
      <c r="S615" s="13">
        <v>3.109461042300847E-2</v>
      </c>
    </row>
    <row r="616" spans="18:19" x14ac:dyDescent="0.45">
      <c r="R616">
        <v>604</v>
      </c>
      <c r="S616" s="13">
        <v>1.9481167259472753E-2</v>
      </c>
    </row>
    <row r="617" spans="18:19" x14ac:dyDescent="0.45">
      <c r="R617">
        <v>605</v>
      </c>
      <c r="S617" s="13">
        <v>1.8665646884621131E-2</v>
      </c>
    </row>
    <row r="618" spans="18:19" x14ac:dyDescent="0.45">
      <c r="R618">
        <v>606</v>
      </c>
      <c r="S618" s="13">
        <v>3.5290233480397455E-3</v>
      </c>
    </row>
    <row r="619" spans="18:19" x14ac:dyDescent="0.45">
      <c r="R619">
        <v>607</v>
      </c>
      <c r="S619" s="13">
        <v>1.632341486705632E-2</v>
      </c>
    </row>
    <row r="620" spans="18:19" x14ac:dyDescent="0.45">
      <c r="R620">
        <v>608</v>
      </c>
      <c r="S620" s="13">
        <v>1.5741066006690133E-2</v>
      </c>
    </row>
    <row r="621" spans="18:19" x14ac:dyDescent="0.45">
      <c r="R621">
        <v>609</v>
      </c>
      <c r="S621" s="13">
        <v>2.5315183965942827E-2</v>
      </c>
    </row>
    <row r="622" spans="18:19" x14ac:dyDescent="0.45">
      <c r="R622">
        <v>610</v>
      </c>
      <c r="S622" s="13">
        <v>2.8193647728476087E-2</v>
      </c>
    </row>
    <row r="623" spans="18:19" x14ac:dyDescent="0.45">
      <c r="R623">
        <v>611</v>
      </c>
      <c r="S623" s="13">
        <v>1.9989103180989516E-2</v>
      </c>
    </row>
    <row r="624" spans="18:19" x14ac:dyDescent="0.45">
      <c r="R624">
        <v>612</v>
      </c>
      <c r="S624" s="13">
        <v>4.6161542957840793E-2</v>
      </c>
    </row>
    <row r="625" spans="18:19" x14ac:dyDescent="0.45">
      <c r="R625">
        <v>613</v>
      </c>
      <c r="S625" s="13">
        <v>1.4640637529617109E-2</v>
      </c>
    </row>
    <row r="626" spans="18:19" x14ac:dyDescent="0.45">
      <c r="R626">
        <v>614</v>
      </c>
      <c r="S626" s="13">
        <v>2.0632643155822802E-2</v>
      </c>
    </row>
    <row r="627" spans="18:19" x14ac:dyDescent="0.45">
      <c r="R627">
        <v>615</v>
      </c>
      <c r="S627" s="13">
        <v>2.4728399717301806E-2</v>
      </c>
    </row>
    <row r="628" spans="18:19" x14ac:dyDescent="0.45">
      <c r="R628">
        <v>616</v>
      </c>
      <c r="S628" s="13">
        <v>1.7149728745591598E-2</v>
      </c>
    </row>
    <row r="629" spans="18:19" x14ac:dyDescent="0.45">
      <c r="R629">
        <v>617</v>
      </c>
      <c r="S629" s="13">
        <v>1.9685794930027173E-2</v>
      </c>
    </row>
    <row r="630" spans="18:19" x14ac:dyDescent="0.45">
      <c r="R630">
        <v>618</v>
      </c>
      <c r="S630" s="13">
        <v>2.881833626108133E-2</v>
      </c>
    </row>
    <row r="631" spans="18:19" x14ac:dyDescent="0.45">
      <c r="R631">
        <v>619</v>
      </c>
      <c r="S631" s="13">
        <v>1.9673032364484123E-2</v>
      </c>
    </row>
    <row r="632" spans="18:19" x14ac:dyDescent="0.45">
      <c r="R632">
        <v>620</v>
      </c>
      <c r="S632" s="13">
        <v>2.5334815634631896E-2</v>
      </c>
    </row>
    <row r="633" spans="18:19" x14ac:dyDescent="0.45">
      <c r="R633">
        <v>621</v>
      </c>
      <c r="S633" s="13">
        <v>2.4739651718462936E-2</v>
      </c>
    </row>
    <row r="634" spans="18:19" x14ac:dyDescent="0.45">
      <c r="R634">
        <v>622</v>
      </c>
      <c r="S634" s="13">
        <v>1.4193261406168632E-2</v>
      </c>
    </row>
    <row r="635" spans="18:19" x14ac:dyDescent="0.45">
      <c r="R635">
        <v>623</v>
      </c>
      <c r="S635" s="13">
        <v>2.0918311206931578E-2</v>
      </c>
    </row>
    <row r="636" spans="18:19" x14ac:dyDescent="0.45">
      <c r="R636">
        <v>624</v>
      </c>
      <c r="S636" s="13">
        <v>1.7924155663848661E-2</v>
      </c>
    </row>
    <row r="637" spans="18:19" x14ac:dyDescent="0.45">
      <c r="R637">
        <v>625</v>
      </c>
      <c r="S637" s="13">
        <v>2.51339433409008E-2</v>
      </c>
    </row>
    <row r="638" spans="18:19" x14ac:dyDescent="0.45">
      <c r="R638">
        <v>626</v>
      </c>
      <c r="S638" s="13">
        <v>2.4427512281032626E-2</v>
      </c>
    </row>
    <row r="639" spans="18:19" x14ac:dyDescent="0.45">
      <c r="R639">
        <v>627</v>
      </c>
      <c r="S639" s="13">
        <v>2.2487559604502445E-2</v>
      </c>
    </row>
    <row r="640" spans="18:19" x14ac:dyDescent="0.45">
      <c r="R640">
        <v>628</v>
      </c>
      <c r="S640" s="13">
        <v>2.7742519343321323E-2</v>
      </c>
    </row>
    <row r="641" spans="18:19" x14ac:dyDescent="0.45">
      <c r="R641">
        <v>629</v>
      </c>
      <c r="S641" s="13">
        <v>2.6985902014675111E-2</v>
      </c>
    </row>
    <row r="642" spans="18:19" x14ac:dyDescent="0.45">
      <c r="R642">
        <v>630</v>
      </c>
      <c r="S642" s="13">
        <v>4.1413463430800074E-2</v>
      </c>
    </row>
    <row r="643" spans="18:19" x14ac:dyDescent="0.45">
      <c r="R643">
        <v>631</v>
      </c>
      <c r="S643" s="13">
        <v>3.700378479570976E-2</v>
      </c>
    </row>
    <row r="644" spans="18:19" x14ac:dyDescent="0.45">
      <c r="R644">
        <v>632</v>
      </c>
      <c r="S644" s="13">
        <v>3.3131771573009179E-2</v>
      </c>
    </row>
    <row r="645" spans="18:19" x14ac:dyDescent="0.45">
      <c r="R645">
        <v>633</v>
      </c>
      <c r="S645" s="13">
        <v>3.2502124367765728E-2</v>
      </c>
    </row>
    <row r="646" spans="18:19" x14ac:dyDescent="0.45">
      <c r="R646">
        <v>634</v>
      </c>
      <c r="S646" s="13">
        <v>1.9186523345412924E-2</v>
      </c>
    </row>
    <row r="647" spans="18:19" x14ac:dyDescent="0.45">
      <c r="R647">
        <v>635</v>
      </c>
      <c r="S647" s="13">
        <v>2.672054229847504E-2</v>
      </c>
    </row>
    <row r="648" spans="18:19" x14ac:dyDescent="0.45">
      <c r="R648">
        <v>636</v>
      </c>
      <c r="S648" s="13">
        <v>2.4699705575340881E-2</v>
      </c>
    </row>
    <row r="649" spans="18:19" x14ac:dyDescent="0.45">
      <c r="R649">
        <v>637</v>
      </c>
      <c r="S649" s="13">
        <v>3.8449356485304488E-2</v>
      </c>
    </row>
    <row r="650" spans="18:19" x14ac:dyDescent="0.45">
      <c r="R650">
        <v>638</v>
      </c>
      <c r="S650" s="13">
        <v>1.4111955707446078E-2</v>
      </c>
    </row>
    <row r="651" spans="18:19" x14ac:dyDescent="0.45">
      <c r="R651">
        <v>639</v>
      </c>
      <c r="S651" s="13">
        <v>2.4473935150105805E-2</v>
      </c>
    </row>
    <row r="652" spans="18:19" x14ac:dyDescent="0.45">
      <c r="R652">
        <v>640</v>
      </c>
      <c r="S652" s="13">
        <v>6.2410292671894907E-2</v>
      </c>
    </row>
    <row r="653" spans="18:19" x14ac:dyDescent="0.45">
      <c r="R653">
        <v>641</v>
      </c>
      <c r="S653" s="13">
        <v>2.3095028260222188E-2</v>
      </c>
    </row>
    <row r="654" spans="18:19" x14ac:dyDescent="0.45">
      <c r="R654">
        <v>642</v>
      </c>
      <c r="S654" s="13">
        <v>1.3146115912087598E-2</v>
      </c>
    </row>
    <row r="655" spans="18:19" x14ac:dyDescent="0.45">
      <c r="R655">
        <v>643</v>
      </c>
      <c r="S655" s="13">
        <v>1.9390146996006864E-2</v>
      </c>
    </row>
    <row r="656" spans="18:19" x14ac:dyDescent="0.45">
      <c r="R656">
        <v>644</v>
      </c>
      <c r="S656" s="13">
        <v>2.5659222297180893E-2</v>
      </c>
    </row>
    <row r="657" spans="18:19" x14ac:dyDescent="0.45">
      <c r="R657">
        <v>645</v>
      </c>
      <c r="S657" s="13">
        <v>3.5842747805479094E-2</v>
      </c>
    </row>
    <row r="658" spans="18:19" x14ac:dyDescent="0.45">
      <c r="R658">
        <v>646</v>
      </c>
      <c r="S658" s="13">
        <v>2.2215991446492715E-2</v>
      </c>
    </row>
    <row r="659" spans="18:19" x14ac:dyDescent="0.45">
      <c r="R659">
        <v>647</v>
      </c>
      <c r="S659" s="13">
        <v>7.0750006604115064E-3</v>
      </c>
    </row>
    <row r="660" spans="18:19" x14ac:dyDescent="0.45">
      <c r="R660">
        <v>648</v>
      </c>
      <c r="S660" s="13">
        <v>1.9286303941409542E-2</v>
      </c>
    </row>
    <row r="661" spans="18:19" x14ac:dyDescent="0.45">
      <c r="R661">
        <v>649</v>
      </c>
      <c r="S661" s="13">
        <v>1.5002101162171315E-3</v>
      </c>
    </row>
    <row r="662" spans="18:19" x14ac:dyDescent="0.45">
      <c r="R662">
        <v>650</v>
      </c>
      <c r="S662" s="13">
        <v>2.4212086216259004E-2</v>
      </c>
    </row>
    <row r="663" spans="18:19" x14ac:dyDescent="0.45">
      <c r="R663">
        <v>651</v>
      </c>
      <c r="S663" s="13">
        <v>1.4636802338287833E-2</v>
      </c>
    </row>
    <row r="664" spans="18:19" x14ac:dyDescent="0.45">
      <c r="R664">
        <v>652</v>
      </c>
      <c r="S664" s="13">
        <v>9.0274795809405471E-3</v>
      </c>
    </row>
    <row r="665" spans="18:19" x14ac:dyDescent="0.45">
      <c r="R665">
        <v>653</v>
      </c>
      <c r="S665" s="13">
        <v>2.2390781369905844E-2</v>
      </c>
    </row>
    <row r="666" spans="18:19" x14ac:dyDescent="0.45">
      <c r="R666">
        <v>654</v>
      </c>
      <c r="S666" s="13">
        <v>2.8009282590380963E-2</v>
      </c>
    </row>
    <row r="667" spans="18:19" x14ac:dyDescent="0.45">
      <c r="R667">
        <v>655</v>
      </c>
      <c r="S667" s="13">
        <v>1.8828610627630575E-2</v>
      </c>
    </row>
    <row r="668" spans="18:19" x14ac:dyDescent="0.45">
      <c r="R668">
        <v>656</v>
      </c>
      <c r="S668" s="13">
        <v>2.8375631635345511E-2</v>
      </c>
    </row>
    <row r="669" spans="18:19" x14ac:dyDescent="0.45">
      <c r="R669">
        <v>657</v>
      </c>
      <c r="S669" s="13">
        <v>2.3691147964390338E-2</v>
      </c>
    </row>
    <row r="670" spans="18:19" x14ac:dyDescent="0.45">
      <c r="R670">
        <v>658</v>
      </c>
      <c r="S670" s="13">
        <v>-2.8451826522252859E-3</v>
      </c>
    </row>
    <row r="671" spans="18:19" x14ac:dyDescent="0.45">
      <c r="R671">
        <v>659</v>
      </c>
      <c r="S671" s="13">
        <v>1.1978645425236497E-2</v>
      </c>
    </row>
    <row r="672" spans="18:19" x14ac:dyDescent="0.45">
      <c r="R672">
        <v>660</v>
      </c>
      <c r="S672" s="13">
        <v>3.0735394009893627E-2</v>
      </c>
    </row>
    <row r="673" spans="18:19" x14ac:dyDescent="0.45">
      <c r="R673">
        <v>661</v>
      </c>
      <c r="S673" s="13">
        <v>2.5178518020137774E-2</v>
      </c>
    </row>
    <row r="674" spans="18:19" x14ac:dyDescent="0.45">
      <c r="R674">
        <v>662</v>
      </c>
      <c r="S674" s="13">
        <v>1.0195621320522194E-2</v>
      </c>
    </row>
    <row r="675" spans="18:19" x14ac:dyDescent="0.45">
      <c r="R675">
        <v>663</v>
      </c>
      <c r="S675" s="13">
        <v>3.6785114189649207E-2</v>
      </c>
    </row>
    <row r="676" spans="18:19" x14ac:dyDescent="0.45">
      <c r="R676">
        <v>664</v>
      </c>
      <c r="S676" s="13">
        <v>3.3380751477475643E-2</v>
      </c>
    </row>
    <row r="677" spans="18:19" x14ac:dyDescent="0.45">
      <c r="R677">
        <v>665</v>
      </c>
      <c r="S677" s="13">
        <v>-4.5595878678232615E-3</v>
      </c>
    </row>
    <row r="678" spans="18:19" x14ac:dyDescent="0.45">
      <c r="R678">
        <v>666</v>
      </c>
      <c r="S678" s="13">
        <v>3.0320888985372468E-2</v>
      </c>
    </row>
    <row r="679" spans="18:19" x14ac:dyDescent="0.45">
      <c r="R679">
        <v>667</v>
      </c>
      <c r="S679" s="13">
        <v>3.0110250213374587E-2</v>
      </c>
    </row>
    <row r="680" spans="18:19" x14ac:dyDescent="0.45">
      <c r="R680">
        <v>668</v>
      </c>
      <c r="S680" s="13">
        <v>2.4308829521934729E-2</v>
      </c>
    </row>
    <row r="681" spans="18:19" x14ac:dyDescent="0.45">
      <c r="R681">
        <v>669</v>
      </c>
      <c r="S681" s="13">
        <v>3.5538985239381808E-2</v>
      </c>
    </row>
    <row r="682" spans="18:19" x14ac:dyDescent="0.45">
      <c r="R682">
        <v>670</v>
      </c>
      <c r="S682" s="13">
        <v>6.0696034904679716E-3</v>
      </c>
    </row>
    <row r="683" spans="18:19" x14ac:dyDescent="0.45">
      <c r="R683">
        <v>671</v>
      </c>
      <c r="S683" s="13">
        <v>1.1434038603267631E-2</v>
      </c>
    </row>
    <row r="684" spans="18:19" x14ac:dyDescent="0.45">
      <c r="R684">
        <v>672</v>
      </c>
      <c r="S684" s="13">
        <v>1.576880968965675E-2</v>
      </c>
    </row>
    <row r="685" spans="18:19" x14ac:dyDescent="0.45">
      <c r="R685">
        <v>673</v>
      </c>
      <c r="S685" s="13">
        <v>1.0409688414086527E-2</v>
      </c>
    </row>
    <row r="686" spans="18:19" x14ac:dyDescent="0.45">
      <c r="R686">
        <v>674</v>
      </c>
      <c r="S686" s="13">
        <v>4.6314654044586276E-3</v>
      </c>
    </row>
    <row r="687" spans="18:19" x14ac:dyDescent="0.45">
      <c r="R687">
        <v>675</v>
      </c>
      <c r="S687" s="13">
        <v>5.77837424003977E-2</v>
      </c>
    </row>
    <row r="688" spans="18:19" x14ac:dyDescent="0.45">
      <c r="R688">
        <v>676</v>
      </c>
      <c r="S688" s="13">
        <v>3.3183451410334686E-2</v>
      </c>
    </row>
    <row r="689" spans="18:19" x14ac:dyDescent="0.45">
      <c r="R689">
        <v>677</v>
      </c>
      <c r="S689" s="13">
        <v>3.6650944525469992E-2</v>
      </c>
    </row>
    <row r="690" spans="18:19" x14ac:dyDescent="0.45">
      <c r="R690">
        <v>678</v>
      </c>
      <c r="S690" s="13">
        <v>2.5223889185285505E-2</v>
      </c>
    </row>
    <row r="691" spans="18:19" x14ac:dyDescent="0.45">
      <c r="R691">
        <v>679</v>
      </c>
      <c r="S691" s="13">
        <v>-1.7510756616325503E-2</v>
      </c>
    </row>
    <row r="692" spans="18:19" x14ac:dyDescent="0.45">
      <c r="R692">
        <v>680</v>
      </c>
      <c r="S692" s="13">
        <v>1.641167412702824E-2</v>
      </c>
    </row>
    <row r="693" spans="18:19" x14ac:dyDescent="0.45">
      <c r="R693">
        <v>681</v>
      </c>
      <c r="S693" s="13">
        <v>1.7241817446482281E-2</v>
      </c>
    </row>
    <row r="694" spans="18:19" x14ac:dyDescent="0.45">
      <c r="R694">
        <v>682</v>
      </c>
      <c r="S694" s="13">
        <v>4.6443432575845531E-3</v>
      </c>
    </row>
    <row r="695" spans="18:19" x14ac:dyDescent="0.45">
      <c r="R695">
        <v>683</v>
      </c>
      <c r="S695" s="13">
        <v>4.3584975791718557E-3</v>
      </c>
    </row>
    <row r="696" spans="18:19" x14ac:dyDescent="0.45">
      <c r="R696">
        <v>684</v>
      </c>
      <c r="S696" s="13">
        <v>2.8610108769034935E-2</v>
      </c>
    </row>
    <row r="697" spans="18:19" x14ac:dyDescent="0.45">
      <c r="R697">
        <v>685</v>
      </c>
      <c r="S697" s="13">
        <v>2.7592088674819593E-2</v>
      </c>
    </row>
    <row r="698" spans="18:19" x14ac:dyDescent="0.45">
      <c r="R698">
        <v>686</v>
      </c>
      <c r="S698" s="13">
        <v>2.3438563076125948E-2</v>
      </c>
    </row>
    <row r="699" spans="18:19" x14ac:dyDescent="0.45">
      <c r="R699">
        <v>687</v>
      </c>
      <c r="S699" s="13">
        <v>3.5567882308023518E-2</v>
      </c>
    </row>
    <row r="700" spans="18:19" x14ac:dyDescent="0.45">
      <c r="R700">
        <v>688</v>
      </c>
      <c r="S700" s="13">
        <v>3.3645479458235442E-2</v>
      </c>
    </row>
    <row r="701" spans="18:19" x14ac:dyDescent="0.45">
      <c r="R701">
        <v>689</v>
      </c>
      <c r="S701" s="13">
        <v>1.0791308606326332E-2</v>
      </c>
    </row>
    <row r="702" spans="18:19" x14ac:dyDescent="0.45">
      <c r="R702">
        <v>690</v>
      </c>
      <c r="S702" s="13">
        <v>2.2535804148504163E-2</v>
      </c>
    </row>
    <row r="703" spans="18:19" x14ac:dyDescent="0.45">
      <c r="R703">
        <v>691</v>
      </c>
      <c r="S703" s="13">
        <v>3.9887706415410409E-2</v>
      </c>
    </row>
    <row r="704" spans="18:19" x14ac:dyDescent="0.45">
      <c r="R704">
        <v>692</v>
      </c>
      <c r="S704" s="13">
        <v>1.6835683901178605E-2</v>
      </c>
    </row>
    <row r="705" spans="18:19" x14ac:dyDescent="0.45">
      <c r="R705">
        <v>693</v>
      </c>
      <c r="S705" s="13">
        <v>2.459767544705118E-2</v>
      </c>
    </row>
    <row r="706" spans="18:19" x14ac:dyDescent="0.45">
      <c r="R706">
        <v>694</v>
      </c>
      <c r="S706" s="13">
        <v>9.1307682213564844E-3</v>
      </c>
    </row>
    <row r="707" spans="18:19" x14ac:dyDescent="0.45">
      <c r="R707">
        <v>695</v>
      </c>
      <c r="S707" s="13">
        <v>8.6100961990096953E-3</v>
      </c>
    </row>
    <row r="708" spans="18:19" x14ac:dyDescent="0.45">
      <c r="R708">
        <v>696</v>
      </c>
      <c r="S708" s="13">
        <v>2.0121922659180537E-2</v>
      </c>
    </row>
    <row r="709" spans="18:19" x14ac:dyDescent="0.45">
      <c r="R709">
        <v>697</v>
      </c>
      <c r="S709" s="13">
        <v>2.5490773230938839E-2</v>
      </c>
    </row>
    <row r="710" spans="18:19" x14ac:dyDescent="0.45">
      <c r="R710">
        <v>698</v>
      </c>
      <c r="S710" s="13">
        <v>1.006872986310862E-2</v>
      </c>
    </row>
    <row r="711" spans="18:19" x14ac:dyDescent="0.45">
      <c r="R711">
        <v>699</v>
      </c>
      <c r="S711" s="13">
        <v>1.9888218126736842E-2</v>
      </c>
    </row>
    <row r="712" spans="18:19" x14ac:dyDescent="0.45">
      <c r="R712">
        <v>700</v>
      </c>
      <c r="S712" s="13">
        <v>2.4443034229961639E-2</v>
      </c>
    </row>
    <row r="713" spans="18:19" x14ac:dyDescent="0.45">
      <c r="R713">
        <v>701</v>
      </c>
      <c r="S713" s="13">
        <v>3.3362456182531336E-2</v>
      </c>
    </row>
    <row r="714" spans="18:19" x14ac:dyDescent="0.45">
      <c r="R714">
        <v>702</v>
      </c>
      <c r="S714" s="13">
        <v>1.0252397002002481E-2</v>
      </c>
    </row>
    <row r="715" spans="18:19" x14ac:dyDescent="0.45">
      <c r="R715">
        <v>703</v>
      </c>
      <c r="S715" s="13">
        <v>3.4229360180929702E-2</v>
      </c>
    </row>
    <row r="716" spans="18:19" x14ac:dyDescent="0.45">
      <c r="R716">
        <v>704</v>
      </c>
      <c r="S716" s="13">
        <v>1.909291731550123E-3</v>
      </c>
    </row>
    <row r="717" spans="18:19" x14ac:dyDescent="0.45">
      <c r="R717">
        <v>705</v>
      </c>
      <c r="S717" s="13">
        <v>1.5910155462577034E-2</v>
      </c>
    </row>
    <row r="718" spans="18:19" x14ac:dyDescent="0.45">
      <c r="R718">
        <v>706</v>
      </c>
      <c r="S718" s="13">
        <v>3.1250327642313364E-2</v>
      </c>
    </row>
    <row r="719" spans="18:19" x14ac:dyDescent="0.45">
      <c r="R719">
        <v>707</v>
      </c>
      <c r="S719" s="13">
        <v>1.5944711113151454E-2</v>
      </c>
    </row>
    <row r="720" spans="18:19" x14ac:dyDescent="0.45">
      <c r="R720">
        <v>708</v>
      </c>
      <c r="S720" s="13">
        <v>2.6037945612453865E-2</v>
      </c>
    </row>
    <row r="721" spans="18:19" x14ac:dyDescent="0.45">
      <c r="R721">
        <v>709</v>
      </c>
      <c r="S721" s="13">
        <v>1.1628338487185971E-2</v>
      </c>
    </row>
    <row r="722" spans="18:19" x14ac:dyDescent="0.45">
      <c r="R722">
        <v>710</v>
      </c>
      <c r="S722" s="13">
        <v>1.0150564105688162E-2</v>
      </c>
    </row>
    <row r="723" spans="18:19" x14ac:dyDescent="0.45">
      <c r="R723">
        <v>711</v>
      </c>
      <c r="S723" s="13">
        <v>3.012477361114712E-2</v>
      </c>
    </row>
    <row r="724" spans="18:19" x14ac:dyDescent="0.45">
      <c r="R724">
        <v>712</v>
      </c>
      <c r="S724" s="13">
        <v>1.9278588733276387E-2</v>
      </c>
    </row>
    <row r="725" spans="18:19" x14ac:dyDescent="0.45">
      <c r="R725">
        <v>713</v>
      </c>
      <c r="S725" s="13">
        <v>1.8104628642518984E-2</v>
      </c>
    </row>
    <row r="726" spans="18:19" x14ac:dyDescent="0.45">
      <c r="R726">
        <v>714</v>
      </c>
      <c r="S726" s="13">
        <v>7.0107555950814134E-3</v>
      </c>
    </row>
    <row r="727" spans="18:19" x14ac:dyDescent="0.45">
      <c r="R727">
        <v>715</v>
      </c>
      <c r="S727" s="13">
        <v>1.1707215273987104E-2</v>
      </c>
    </row>
    <row r="728" spans="18:19" x14ac:dyDescent="0.45">
      <c r="R728">
        <v>716</v>
      </c>
      <c r="S728" s="13">
        <v>1.009052248103723E-2</v>
      </c>
    </row>
    <row r="729" spans="18:19" x14ac:dyDescent="0.45">
      <c r="R729">
        <v>717</v>
      </c>
      <c r="S729" s="13">
        <v>1.9916737242872219E-2</v>
      </c>
    </row>
    <row r="730" spans="18:19" x14ac:dyDescent="0.45">
      <c r="R730">
        <v>718</v>
      </c>
      <c r="S730" s="13">
        <v>1.3986859362930558E-2</v>
      </c>
    </row>
    <row r="731" spans="18:19" x14ac:dyDescent="0.45">
      <c r="R731">
        <v>719</v>
      </c>
      <c r="S731" s="13">
        <v>3.0588716463246405E-2</v>
      </c>
    </row>
    <row r="732" spans="18:19" x14ac:dyDescent="0.45">
      <c r="R732">
        <v>720</v>
      </c>
      <c r="S732" s="13">
        <v>1.5796393472608264E-2</v>
      </c>
    </row>
    <row r="733" spans="18:19" x14ac:dyDescent="0.45">
      <c r="R733">
        <v>721</v>
      </c>
      <c r="S733" s="13">
        <v>1.8398418833616512E-2</v>
      </c>
    </row>
    <row r="734" spans="18:19" x14ac:dyDescent="0.45">
      <c r="R734">
        <v>722</v>
      </c>
      <c r="S734" s="13">
        <v>1.9699566834798232E-2</v>
      </c>
    </row>
    <row r="735" spans="18:19" x14ac:dyDescent="0.45">
      <c r="R735">
        <v>723</v>
      </c>
      <c r="S735" s="13">
        <v>2.0040422021004048E-2</v>
      </c>
    </row>
    <row r="736" spans="18:19" x14ac:dyDescent="0.45">
      <c r="R736">
        <v>724</v>
      </c>
      <c r="S736" s="13">
        <v>5.8000820442722749E-3</v>
      </c>
    </row>
    <row r="737" spans="18:19" x14ac:dyDescent="0.45">
      <c r="R737">
        <v>725</v>
      </c>
      <c r="S737" s="13">
        <v>1.488077573114065E-2</v>
      </c>
    </row>
    <row r="738" spans="18:19" x14ac:dyDescent="0.45">
      <c r="R738">
        <v>726</v>
      </c>
      <c r="S738" s="13">
        <v>2.4322645121224742E-2</v>
      </c>
    </row>
    <row r="739" spans="18:19" x14ac:dyDescent="0.45">
      <c r="R739">
        <v>727</v>
      </c>
      <c r="S739" s="13">
        <v>1.9115773175818768E-2</v>
      </c>
    </row>
    <row r="740" spans="18:19" x14ac:dyDescent="0.45">
      <c r="R740">
        <v>728</v>
      </c>
      <c r="S740" s="13">
        <v>3.1247496302699504E-2</v>
      </c>
    </row>
    <row r="741" spans="18:19" x14ac:dyDescent="0.45">
      <c r="R741">
        <v>729</v>
      </c>
      <c r="S741" s="13">
        <v>2.7089192604402047E-2</v>
      </c>
    </row>
    <row r="742" spans="18:19" x14ac:dyDescent="0.45">
      <c r="R742">
        <v>730</v>
      </c>
      <c r="S742" s="13">
        <v>3.391847347545969E-2</v>
      </c>
    </row>
    <row r="743" spans="18:19" x14ac:dyDescent="0.45">
      <c r="R743">
        <v>731</v>
      </c>
      <c r="S743" s="13">
        <v>3.7214966413584155E-3</v>
      </c>
    </row>
    <row r="744" spans="18:19" x14ac:dyDescent="0.45">
      <c r="R744">
        <v>732</v>
      </c>
      <c r="S744" s="13">
        <v>2.3423247996348318E-2</v>
      </c>
    </row>
    <row r="745" spans="18:19" x14ac:dyDescent="0.45">
      <c r="R745">
        <v>733</v>
      </c>
      <c r="S745" s="13">
        <v>5.1754264698180216E-3</v>
      </c>
    </row>
    <row r="746" spans="18:19" x14ac:dyDescent="0.45">
      <c r="R746">
        <v>734</v>
      </c>
      <c r="S746" s="13">
        <v>8.4810321367429428E-3</v>
      </c>
    </row>
    <row r="747" spans="18:19" x14ac:dyDescent="0.45">
      <c r="R747">
        <v>735</v>
      </c>
      <c r="S747" s="13">
        <v>1.8674451452420037E-2</v>
      </c>
    </row>
    <row r="748" spans="18:19" x14ac:dyDescent="0.45">
      <c r="R748">
        <v>736</v>
      </c>
      <c r="S748" s="13">
        <v>9.867523911716667E-3</v>
      </c>
    </row>
    <row r="749" spans="18:19" x14ac:dyDescent="0.45">
      <c r="R749">
        <v>737</v>
      </c>
      <c r="S749" s="13">
        <v>1.6078055816578223E-2</v>
      </c>
    </row>
    <row r="750" spans="18:19" x14ac:dyDescent="0.45">
      <c r="R750">
        <v>738</v>
      </c>
      <c r="S750" s="13">
        <v>1.4898287505059678E-2</v>
      </c>
    </row>
    <row r="751" spans="18:19" x14ac:dyDescent="0.45">
      <c r="R751">
        <v>739</v>
      </c>
      <c r="S751" s="13">
        <v>1.0248339516577047E-2</v>
      </c>
    </row>
    <row r="752" spans="18:19" x14ac:dyDescent="0.45">
      <c r="R752">
        <v>740</v>
      </c>
      <c r="S752" s="13">
        <v>-1.6155438633164258E-3</v>
      </c>
    </row>
    <row r="753" spans="18:19" x14ac:dyDescent="0.45">
      <c r="R753">
        <v>741</v>
      </c>
      <c r="S753" s="13">
        <v>1.0268547406259465E-2</v>
      </c>
    </row>
    <row r="754" spans="18:19" x14ac:dyDescent="0.45">
      <c r="R754">
        <v>742</v>
      </c>
      <c r="S754" s="13">
        <v>3.2867484164913599E-2</v>
      </c>
    </row>
    <row r="755" spans="18:19" x14ac:dyDescent="0.45">
      <c r="R755">
        <v>743</v>
      </c>
      <c r="S755" s="13">
        <v>2.1615553483478506E-2</v>
      </c>
    </row>
    <row r="756" spans="18:19" x14ac:dyDescent="0.45">
      <c r="R756">
        <v>744</v>
      </c>
      <c r="S756" s="13">
        <v>1.6262279386075794E-2</v>
      </c>
    </row>
    <row r="757" spans="18:19" x14ac:dyDescent="0.45">
      <c r="R757">
        <v>745</v>
      </c>
      <c r="S757" s="13">
        <v>3.1122113235567548E-2</v>
      </c>
    </row>
    <row r="758" spans="18:19" x14ac:dyDescent="0.45">
      <c r="R758">
        <v>746</v>
      </c>
      <c r="S758" s="13">
        <v>2.790723381768892E-2</v>
      </c>
    </row>
    <row r="759" spans="18:19" x14ac:dyDescent="0.45">
      <c r="R759">
        <v>747</v>
      </c>
      <c r="S759" s="13">
        <v>3.1194676690397181E-2</v>
      </c>
    </row>
    <row r="760" spans="18:19" x14ac:dyDescent="0.45">
      <c r="R760">
        <v>748</v>
      </c>
      <c r="S760" s="13">
        <v>1.3143364937406091E-2</v>
      </c>
    </row>
    <row r="761" spans="18:19" x14ac:dyDescent="0.45">
      <c r="R761">
        <v>749</v>
      </c>
      <c r="S761" s="13">
        <v>1.7403496773682386E-2</v>
      </c>
    </row>
    <row r="762" spans="18:19" x14ac:dyDescent="0.45">
      <c r="R762">
        <v>750</v>
      </c>
      <c r="S762" s="13">
        <v>7.3734313195642602E-3</v>
      </c>
    </row>
    <row r="763" spans="18:19" x14ac:dyDescent="0.45">
      <c r="R763">
        <v>751</v>
      </c>
      <c r="S763" s="13">
        <v>9.9213001461206374E-3</v>
      </c>
    </row>
    <row r="764" spans="18:19" x14ac:dyDescent="0.45">
      <c r="R764">
        <v>752</v>
      </c>
      <c r="S764" s="13">
        <v>2.6155592667750714E-2</v>
      </c>
    </row>
    <row r="765" spans="18:19" x14ac:dyDescent="0.45">
      <c r="R765">
        <v>753</v>
      </c>
      <c r="S765" s="13">
        <v>6.1993268498372906E-3</v>
      </c>
    </row>
    <row r="766" spans="18:19" x14ac:dyDescent="0.45">
      <c r="R766">
        <v>754</v>
      </c>
      <c r="S766" s="13">
        <v>4.556740542646992E-2</v>
      </c>
    </row>
    <row r="767" spans="18:19" x14ac:dyDescent="0.45">
      <c r="R767">
        <v>755</v>
      </c>
      <c r="S767" s="13">
        <v>2.1319419471881505E-2</v>
      </c>
    </row>
    <row r="768" spans="18:19" x14ac:dyDescent="0.45">
      <c r="R768">
        <v>756</v>
      </c>
      <c r="S768" s="13">
        <v>1.6318444411747377E-2</v>
      </c>
    </row>
    <row r="769" spans="18:19" x14ac:dyDescent="0.45">
      <c r="R769">
        <v>757</v>
      </c>
      <c r="S769" s="13">
        <v>1.5130326369444792E-2</v>
      </c>
    </row>
    <row r="770" spans="18:19" x14ac:dyDescent="0.45">
      <c r="R770">
        <v>758</v>
      </c>
      <c r="S770" s="13">
        <v>1.5628732640355563E-2</v>
      </c>
    </row>
    <row r="771" spans="18:19" x14ac:dyDescent="0.45">
      <c r="R771">
        <v>759</v>
      </c>
      <c r="S771" s="13">
        <v>3.0008432201350011E-2</v>
      </c>
    </row>
    <row r="772" spans="18:19" x14ac:dyDescent="0.45">
      <c r="R772">
        <v>760</v>
      </c>
      <c r="S772" s="13">
        <v>1.7714722523587623E-2</v>
      </c>
    </row>
    <row r="773" spans="18:19" x14ac:dyDescent="0.45">
      <c r="R773">
        <v>761</v>
      </c>
      <c r="S773" s="13">
        <v>4.3103225617977144E-3</v>
      </c>
    </row>
    <row r="774" spans="18:19" x14ac:dyDescent="0.45">
      <c r="R774">
        <v>762</v>
      </c>
      <c r="S774" s="13">
        <v>2.5616684487197099E-2</v>
      </c>
    </row>
    <row r="775" spans="18:19" x14ac:dyDescent="0.45">
      <c r="R775">
        <v>763</v>
      </c>
      <c r="S775" s="13">
        <v>2.9140372294158765E-2</v>
      </c>
    </row>
    <row r="776" spans="18:19" x14ac:dyDescent="0.45">
      <c r="R776">
        <v>764</v>
      </c>
      <c r="S776" s="13">
        <v>1.8564263324263284E-2</v>
      </c>
    </row>
    <row r="777" spans="18:19" x14ac:dyDescent="0.45">
      <c r="R777">
        <v>765</v>
      </c>
      <c r="S777" s="13">
        <v>9.2915579133585509E-3</v>
      </c>
    </row>
    <row r="778" spans="18:19" x14ac:dyDescent="0.45">
      <c r="R778">
        <v>766</v>
      </c>
      <c r="S778" s="13">
        <v>6.3257205992807153E-3</v>
      </c>
    </row>
    <row r="779" spans="18:19" x14ac:dyDescent="0.45">
      <c r="R779">
        <v>767</v>
      </c>
      <c r="S779" s="13">
        <v>1.5074168507759847E-2</v>
      </c>
    </row>
    <row r="780" spans="18:19" x14ac:dyDescent="0.45">
      <c r="R780">
        <v>768</v>
      </c>
      <c r="S780" s="13">
        <v>1.9154449802277446E-2</v>
      </c>
    </row>
    <row r="781" spans="18:19" x14ac:dyDescent="0.45">
      <c r="R781">
        <v>769</v>
      </c>
      <c r="S781" s="13">
        <v>1.44580302183707E-2</v>
      </c>
    </row>
    <row r="782" spans="18:19" x14ac:dyDescent="0.45">
      <c r="R782">
        <v>770</v>
      </c>
      <c r="S782" s="13">
        <v>3.7769478529317904E-4</v>
      </c>
    </row>
    <row r="783" spans="18:19" x14ac:dyDescent="0.45">
      <c r="R783">
        <v>771</v>
      </c>
      <c r="S783" s="13">
        <v>1.0651726170550971E-2</v>
      </c>
    </row>
    <row r="784" spans="18:19" x14ac:dyDescent="0.45">
      <c r="R784">
        <v>772</v>
      </c>
      <c r="S784" s="13">
        <v>3.451298734289749E-2</v>
      </c>
    </row>
    <row r="785" spans="18:19" x14ac:dyDescent="0.45">
      <c r="R785">
        <v>773</v>
      </c>
      <c r="S785" s="13">
        <v>2.2758886199502969E-2</v>
      </c>
    </row>
    <row r="786" spans="18:19" x14ac:dyDescent="0.45">
      <c r="R786">
        <v>774</v>
      </c>
      <c r="S786" s="13">
        <v>1.6321497834982397E-2</v>
      </c>
    </row>
    <row r="787" spans="18:19" x14ac:dyDescent="0.45">
      <c r="R787">
        <v>775</v>
      </c>
      <c r="S787" s="13">
        <v>2.486337844837681E-2</v>
      </c>
    </row>
    <row r="788" spans="18:19" x14ac:dyDescent="0.45">
      <c r="R788">
        <v>776</v>
      </c>
      <c r="S788" s="13">
        <v>7.3608215074609205E-3</v>
      </c>
    </row>
    <row r="789" spans="18:19" x14ac:dyDescent="0.45">
      <c r="R789">
        <v>777</v>
      </c>
      <c r="S789" s="13">
        <v>1.9999177440214559E-2</v>
      </c>
    </row>
    <row r="790" spans="18:19" x14ac:dyDescent="0.45">
      <c r="R790">
        <v>778</v>
      </c>
      <c r="S790" s="13">
        <v>1.2819858129251481E-2</v>
      </c>
    </row>
    <row r="791" spans="18:19" x14ac:dyDescent="0.45">
      <c r="R791">
        <v>779</v>
      </c>
      <c r="S791" s="13">
        <v>2.8147835109172299E-3</v>
      </c>
    </row>
    <row r="792" spans="18:19" x14ac:dyDescent="0.45">
      <c r="R792">
        <v>780</v>
      </c>
      <c r="S792" s="13">
        <v>1.5571373046114063E-2</v>
      </c>
    </row>
    <row r="793" spans="18:19" x14ac:dyDescent="0.45">
      <c r="R793">
        <v>781</v>
      </c>
      <c r="S793" s="13">
        <v>2.6571212747899135E-2</v>
      </c>
    </row>
    <row r="794" spans="18:19" x14ac:dyDescent="0.45">
      <c r="R794">
        <v>782</v>
      </c>
      <c r="S794" s="13">
        <v>4.6710688758821867E-3</v>
      </c>
    </row>
    <row r="795" spans="18:19" x14ac:dyDescent="0.45">
      <c r="R795">
        <v>783</v>
      </c>
      <c r="S795" s="13">
        <v>1.6919830190760741E-2</v>
      </c>
    </row>
    <row r="796" spans="18:19" x14ac:dyDescent="0.45">
      <c r="R796">
        <v>784</v>
      </c>
      <c r="S796" s="13">
        <v>1.3225784475213094E-2</v>
      </c>
    </row>
    <row r="797" spans="18:19" x14ac:dyDescent="0.45">
      <c r="R797">
        <v>785</v>
      </c>
      <c r="S797" s="13">
        <v>1.1891332457005176E-2</v>
      </c>
    </row>
    <row r="798" spans="18:19" x14ac:dyDescent="0.45">
      <c r="R798">
        <v>786</v>
      </c>
      <c r="S798" s="13">
        <v>2.4250684947738844E-2</v>
      </c>
    </row>
    <row r="799" spans="18:19" x14ac:dyDescent="0.45">
      <c r="R799">
        <v>787</v>
      </c>
      <c r="S799" s="13">
        <v>2.9535719278539103E-2</v>
      </c>
    </row>
    <row r="800" spans="18:19" x14ac:dyDescent="0.45">
      <c r="R800">
        <v>788</v>
      </c>
      <c r="S800" s="13">
        <v>4.3525158979534545E-2</v>
      </c>
    </row>
    <row r="801" spans="18:19" x14ac:dyDescent="0.45">
      <c r="R801">
        <v>789</v>
      </c>
      <c r="S801" s="13">
        <v>3.3766879781475523E-2</v>
      </c>
    </row>
    <row r="802" spans="18:19" x14ac:dyDescent="0.45">
      <c r="R802">
        <v>790</v>
      </c>
      <c r="S802" s="13">
        <v>8.2623377377825241E-3</v>
      </c>
    </row>
    <row r="803" spans="18:19" x14ac:dyDescent="0.45">
      <c r="R803">
        <v>791</v>
      </c>
      <c r="S803" s="13">
        <v>1.7004266374339889E-2</v>
      </c>
    </row>
    <row r="804" spans="18:19" x14ac:dyDescent="0.45">
      <c r="R804">
        <v>792</v>
      </c>
      <c r="S804" s="13">
        <v>1.5034305164143273E-2</v>
      </c>
    </row>
    <row r="805" spans="18:19" x14ac:dyDescent="0.45">
      <c r="R805">
        <v>793</v>
      </c>
      <c r="S805" s="13">
        <v>2.1419731248416372E-2</v>
      </c>
    </row>
    <row r="806" spans="18:19" x14ac:dyDescent="0.45">
      <c r="R806">
        <v>794</v>
      </c>
      <c r="S806" s="13">
        <v>1.9082841677943788E-4</v>
      </c>
    </row>
    <row r="807" spans="18:19" x14ac:dyDescent="0.45">
      <c r="R807">
        <v>795</v>
      </c>
      <c r="S807" s="13">
        <v>3.4298068704509049E-2</v>
      </c>
    </row>
    <row r="808" spans="18:19" x14ac:dyDescent="0.45">
      <c r="R808">
        <v>796</v>
      </c>
      <c r="S808" s="13">
        <v>1.6277170024271575E-2</v>
      </c>
    </row>
    <row r="809" spans="18:19" x14ac:dyDescent="0.45">
      <c r="R809">
        <v>797</v>
      </c>
      <c r="S809" s="13">
        <v>5.6405586376330561E-3</v>
      </c>
    </row>
    <row r="810" spans="18:19" x14ac:dyDescent="0.45">
      <c r="R810">
        <v>798</v>
      </c>
      <c r="S810" s="13">
        <v>2.4716927298952109E-2</v>
      </c>
    </row>
    <row r="811" spans="18:19" x14ac:dyDescent="0.45">
      <c r="R811">
        <v>799</v>
      </c>
      <c r="S811" s="13">
        <v>2.6343960370413054E-2</v>
      </c>
    </row>
    <row r="812" spans="18:19" x14ac:dyDescent="0.45">
      <c r="R812">
        <v>800</v>
      </c>
      <c r="S812" s="13">
        <v>1.3916988233142028E-2</v>
      </c>
    </row>
    <row r="813" spans="18:19" x14ac:dyDescent="0.45">
      <c r="R813">
        <v>801</v>
      </c>
      <c r="S813" s="13">
        <v>4.0777285794438851E-2</v>
      </c>
    </row>
    <row r="814" spans="18:19" x14ac:dyDescent="0.45">
      <c r="R814">
        <v>802</v>
      </c>
      <c r="S814" s="13">
        <v>1.4268147753392102E-2</v>
      </c>
    </row>
    <row r="815" spans="18:19" x14ac:dyDescent="0.45">
      <c r="R815">
        <v>803</v>
      </c>
      <c r="S815" s="13">
        <v>2.260063582934034E-2</v>
      </c>
    </row>
    <row r="816" spans="18:19" x14ac:dyDescent="0.45">
      <c r="R816">
        <v>804</v>
      </c>
      <c r="S816" s="13">
        <v>4.6309583312462529E-2</v>
      </c>
    </row>
    <row r="817" spans="18:19" x14ac:dyDescent="0.45">
      <c r="R817">
        <v>805</v>
      </c>
      <c r="S817" s="13">
        <v>9.3041577991212817E-3</v>
      </c>
    </row>
    <row r="818" spans="18:19" x14ac:dyDescent="0.45">
      <c r="R818">
        <v>806</v>
      </c>
      <c r="S818" s="13">
        <v>-7.6590821048806886E-3</v>
      </c>
    </row>
    <row r="819" spans="18:19" x14ac:dyDescent="0.45">
      <c r="R819">
        <v>807</v>
      </c>
      <c r="S819" s="13">
        <v>1.8886096215472395E-2</v>
      </c>
    </row>
    <row r="820" spans="18:19" x14ac:dyDescent="0.45">
      <c r="R820">
        <v>808</v>
      </c>
      <c r="S820" s="13">
        <v>3.8570737487552617E-2</v>
      </c>
    </row>
    <row r="821" spans="18:19" x14ac:dyDescent="0.45">
      <c r="R821">
        <v>809</v>
      </c>
      <c r="S821" s="13">
        <v>7.6864581061849499E-3</v>
      </c>
    </row>
    <row r="822" spans="18:19" x14ac:dyDescent="0.45">
      <c r="R822">
        <v>810</v>
      </c>
      <c r="S822" s="13">
        <v>1.364585679909262E-2</v>
      </c>
    </row>
    <row r="823" spans="18:19" x14ac:dyDescent="0.45">
      <c r="R823">
        <v>811</v>
      </c>
      <c r="S823" s="13">
        <v>1.6787164925975102E-2</v>
      </c>
    </row>
    <row r="824" spans="18:19" x14ac:dyDescent="0.45">
      <c r="R824">
        <v>812</v>
      </c>
      <c r="S824" s="13">
        <v>5.5330070450734601E-3</v>
      </c>
    </row>
    <row r="825" spans="18:19" x14ac:dyDescent="0.45">
      <c r="R825">
        <v>813</v>
      </c>
      <c r="S825" s="13">
        <v>2.661702595366449E-2</v>
      </c>
    </row>
    <row r="826" spans="18:19" x14ac:dyDescent="0.45">
      <c r="R826">
        <v>814</v>
      </c>
      <c r="S826" s="13">
        <v>-9.0165824132996952E-4</v>
      </c>
    </row>
    <row r="827" spans="18:19" x14ac:dyDescent="0.45">
      <c r="R827">
        <v>815</v>
      </c>
      <c r="S827" s="13">
        <v>5.3571035366750171E-3</v>
      </c>
    </row>
    <row r="828" spans="18:19" x14ac:dyDescent="0.45">
      <c r="R828">
        <v>816</v>
      </c>
      <c r="S828" s="13">
        <v>9.3000040670635185E-3</v>
      </c>
    </row>
    <row r="829" spans="18:19" x14ac:dyDescent="0.45">
      <c r="R829">
        <v>817</v>
      </c>
      <c r="S829" s="13">
        <v>4.2558189702458123E-3</v>
      </c>
    </row>
    <row r="830" spans="18:19" x14ac:dyDescent="0.45">
      <c r="R830">
        <v>818</v>
      </c>
      <c r="S830" s="13">
        <v>2.6539295503668521E-2</v>
      </c>
    </row>
    <row r="831" spans="18:19" x14ac:dyDescent="0.45">
      <c r="R831">
        <v>819</v>
      </c>
      <c r="S831" s="13">
        <v>1.6040243368813514E-2</v>
      </c>
    </row>
    <row r="832" spans="18:19" x14ac:dyDescent="0.45">
      <c r="R832">
        <v>820</v>
      </c>
      <c r="S832" s="13">
        <v>2.0714784645963907E-2</v>
      </c>
    </row>
    <row r="833" spans="18:19" x14ac:dyDescent="0.45">
      <c r="R833">
        <v>821</v>
      </c>
      <c r="S833" s="13">
        <v>8.2229296749512914E-3</v>
      </c>
    </row>
    <row r="834" spans="18:19" x14ac:dyDescent="0.45">
      <c r="R834">
        <v>822</v>
      </c>
      <c r="S834" s="13">
        <v>1.52997339463996E-2</v>
      </c>
    </row>
    <row r="835" spans="18:19" x14ac:dyDescent="0.45">
      <c r="R835">
        <v>823</v>
      </c>
      <c r="S835" s="13">
        <v>3.4276947142182011E-2</v>
      </c>
    </row>
    <row r="836" spans="18:19" x14ac:dyDescent="0.45">
      <c r="R836">
        <v>824</v>
      </c>
      <c r="S836" s="13">
        <v>1.2178645362743689E-2</v>
      </c>
    </row>
    <row r="837" spans="18:19" x14ac:dyDescent="0.45">
      <c r="R837">
        <v>825</v>
      </c>
      <c r="S837" s="13">
        <v>-1.8853232631514116E-3</v>
      </c>
    </row>
    <row r="838" spans="18:19" x14ac:dyDescent="0.45">
      <c r="R838">
        <v>826</v>
      </c>
      <c r="S838" s="13">
        <v>2.9448568406161023E-2</v>
      </c>
    </row>
    <row r="839" spans="18:19" x14ac:dyDescent="0.45">
      <c r="R839">
        <v>827</v>
      </c>
      <c r="S839" s="13">
        <v>1.7890578563095068E-2</v>
      </c>
    </row>
    <row r="840" spans="18:19" x14ac:dyDescent="0.45">
      <c r="R840">
        <v>828</v>
      </c>
      <c r="S840" s="13">
        <v>3.319832348931899E-2</v>
      </c>
    </row>
    <row r="841" spans="18:19" x14ac:dyDescent="0.45">
      <c r="R841">
        <v>829</v>
      </c>
      <c r="S841" s="13">
        <v>1.7318974983645853E-2</v>
      </c>
    </row>
    <row r="842" spans="18:19" x14ac:dyDescent="0.45">
      <c r="R842">
        <v>830</v>
      </c>
      <c r="S842" s="13">
        <v>1.454650382414921E-2</v>
      </c>
    </row>
    <row r="843" spans="18:19" x14ac:dyDescent="0.45">
      <c r="R843">
        <v>831</v>
      </c>
      <c r="S843" s="13">
        <v>3.4216684907455538E-2</v>
      </c>
    </row>
    <row r="844" spans="18:19" x14ac:dyDescent="0.45">
      <c r="R844">
        <v>832</v>
      </c>
      <c r="S844" s="13">
        <v>1.9477933154620142E-2</v>
      </c>
    </row>
    <row r="845" spans="18:19" x14ac:dyDescent="0.45">
      <c r="R845">
        <v>833</v>
      </c>
      <c r="S845" s="13">
        <v>5.5288555263102689E-3</v>
      </c>
    </row>
    <row r="846" spans="18:19" x14ac:dyDescent="0.45">
      <c r="R846">
        <v>834</v>
      </c>
      <c r="S846" s="13">
        <v>9.6316606144949655E-3</v>
      </c>
    </row>
    <row r="847" spans="18:19" x14ac:dyDescent="0.45">
      <c r="R847">
        <v>835</v>
      </c>
      <c r="S847" s="13">
        <v>7.8651051117334149E-3</v>
      </c>
    </row>
    <row r="848" spans="18:19" x14ac:dyDescent="0.45">
      <c r="R848">
        <v>836</v>
      </c>
      <c r="S848" s="13">
        <v>1.2111066616147286E-2</v>
      </c>
    </row>
    <row r="849" spans="18:19" x14ac:dyDescent="0.45">
      <c r="R849">
        <v>837</v>
      </c>
      <c r="S849" s="13">
        <v>3.2686442247904055E-2</v>
      </c>
    </row>
    <row r="850" spans="18:19" x14ac:dyDescent="0.45">
      <c r="R850">
        <v>838</v>
      </c>
      <c r="S850" s="13">
        <v>2.6984228130058706E-2</v>
      </c>
    </row>
    <row r="851" spans="18:19" x14ac:dyDescent="0.45">
      <c r="R851">
        <v>839</v>
      </c>
      <c r="S851" s="13">
        <v>3.5821451129011098E-2</v>
      </c>
    </row>
    <row r="852" spans="18:19" x14ac:dyDescent="0.45">
      <c r="R852">
        <v>840</v>
      </c>
      <c r="S852" s="13">
        <v>1.6288172794318611E-2</v>
      </c>
    </row>
    <row r="853" spans="18:19" x14ac:dyDescent="0.45">
      <c r="R853">
        <v>841</v>
      </c>
      <c r="S853" s="13">
        <v>3.2017434692652204E-3</v>
      </c>
    </row>
    <row r="854" spans="18:19" x14ac:dyDescent="0.45">
      <c r="R854">
        <v>842</v>
      </c>
      <c r="S854" s="13">
        <v>9.958949848591166E-3</v>
      </c>
    </row>
    <row r="855" spans="18:19" x14ac:dyDescent="0.45">
      <c r="R855">
        <v>843</v>
      </c>
      <c r="S855" s="13">
        <v>1.5854284661459841E-2</v>
      </c>
    </row>
    <row r="856" spans="18:19" x14ac:dyDescent="0.45">
      <c r="R856">
        <v>844</v>
      </c>
      <c r="S856" s="13">
        <v>1.4304630470127314E-2</v>
      </c>
    </row>
    <row r="857" spans="18:19" x14ac:dyDescent="0.45">
      <c r="R857">
        <v>845</v>
      </c>
      <c r="S857" s="13">
        <v>1.361200520653022E-2</v>
      </c>
    </row>
    <row r="858" spans="18:19" x14ac:dyDescent="0.45">
      <c r="R858">
        <v>846</v>
      </c>
      <c r="S858" s="13">
        <v>3.3604496005911352E-2</v>
      </c>
    </row>
    <row r="859" spans="18:19" x14ac:dyDescent="0.45">
      <c r="R859">
        <v>847</v>
      </c>
      <c r="S859" s="13">
        <v>-5.1357884980590233E-3</v>
      </c>
    </row>
    <row r="860" spans="18:19" x14ac:dyDescent="0.45">
      <c r="R860">
        <v>848</v>
      </c>
      <c r="S860" s="13">
        <v>1.6083976297477182E-2</v>
      </c>
    </row>
    <row r="861" spans="18:19" x14ac:dyDescent="0.45">
      <c r="R861">
        <v>849</v>
      </c>
      <c r="S861" s="13">
        <v>7.0693179137694909E-3</v>
      </c>
    </row>
    <row r="862" spans="18:19" x14ac:dyDescent="0.45">
      <c r="R862">
        <v>850</v>
      </c>
      <c r="S862" s="13">
        <v>2.7910232505676404E-2</v>
      </c>
    </row>
    <row r="863" spans="18:19" x14ac:dyDescent="0.45">
      <c r="R863">
        <v>851</v>
      </c>
      <c r="S863" s="13">
        <v>2.8266640277778875E-2</v>
      </c>
    </row>
    <row r="864" spans="18:19" x14ac:dyDescent="0.45">
      <c r="R864">
        <v>852</v>
      </c>
      <c r="S864" s="13">
        <v>4.8218075655803473E-3</v>
      </c>
    </row>
    <row r="865" spans="18:19" x14ac:dyDescent="0.45">
      <c r="R865">
        <v>853</v>
      </c>
      <c r="S865" s="13">
        <v>1.7913844184993102E-2</v>
      </c>
    </row>
    <row r="866" spans="18:19" x14ac:dyDescent="0.45">
      <c r="R866">
        <v>854</v>
      </c>
      <c r="S866" s="13">
        <v>1.595227093364374E-2</v>
      </c>
    </row>
    <row r="867" spans="18:19" x14ac:dyDescent="0.45">
      <c r="R867">
        <v>855</v>
      </c>
      <c r="S867" s="13">
        <v>3.5935127979702899E-2</v>
      </c>
    </row>
    <row r="868" spans="18:19" x14ac:dyDescent="0.45">
      <c r="R868">
        <v>856</v>
      </c>
      <c r="S868" s="13">
        <v>1.2220612587504551E-3</v>
      </c>
    </row>
    <row r="869" spans="18:19" x14ac:dyDescent="0.45">
      <c r="R869">
        <v>857</v>
      </c>
      <c r="S869" s="13">
        <v>1.6517498586794448E-2</v>
      </c>
    </row>
    <row r="870" spans="18:19" x14ac:dyDescent="0.45">
      <c r="R870">
        <v>858</v>
      </c>
      <c r="S870" s="13">
        <v>2.8285352051894939E-2</v>
      </c>
    </row>
    <row r="871" spans="18:19" x14ac:dyDescent="0.45">
      <c r="R871">
        <v>859</v>
      </c>
      <c r="S871" s="13">
        <v>2.9057090759742922E-2</v>
      </c>
    </row>
    <row r="872" spans="18:19" x14ac:dyDescent="0.45">
      <c r="R872">
        <v>860</v>
      </c>
      <c r="S872" s="13">
        <v>1.5724563692958105E-2</v>
      </c>
    </row>
    <row r="873" spans="18:19" x14ac:dyDescent="0.45">
      <c r="R873">
        <v>861</v>
      </c>
      <c r="S873" s="13">
        <v>2.3064709582717436E-2</v>
      </c>
    </row>
    <row r="874" spans="18:19" x14ac:dyDescent="0.45">
      <c r="R874">
        <v>862</v>
      </c>
      <c r="S874" s="13">
        <v>2.768983831024123E-2</v>
      </c>
    </row>
    <row r="875" spans="18:19" x14ac:dyDescent="0.45">
      <c r="R875">
        <v>863</v>
      </c>
      <c r="S875" s="13">
        <v>1.1850055722567934E-2</v>
      </c>
    </row>
    <row r="876" spans="18:19" x14ac:dyDescent="0.45">
      <c r="R876">
        <v>864</v>
      </c>
      <c r="S876" s="13">
        <v>1.4615296205508457E-2</v>
      </c>
    </row>
    <row r="877" spans="18:19" x14ac:dyDescent="0.45">
      <c r="R877">
        <v>865</v>
      </c>
      <c r="S877" s="13">
        <v>1.8518135221151782E-2</v>
      </c>
    </row>
    <row r="878" spans="18:19" x14ac:dyDescent="0.45">
      <c r="R878">
        <v>866</v>
      </c>
      <c r="S878" s="13">
        <v>1.2597026956069995E-2</v>
      </c>
    </row>
    <row r="879" spans="18:19" x14ac:dyDescent="0.45">
      <c r="R879">
        <v>867</v>
      </c>
      <c r="S879" s="13">
        <v>2.7796096348030794E-2</v>
      </c>
    </row>
    <row r="880" spans="18:19" x14ac:dyDescent="0.45">
      <c r="R880">
        <v>868</v>
      </c>
      <c r="S880" s="13">
        <v>1.7650848955877412E-2</v>
      </c>
    </row>
    <row r="881" spans="18:19" x14ac:dyDescent="0.45">
      <c r="R881">
        <v>869</v>
      </c>
      <c r="S881" s="13">
        <v>1.1879814115286708E-2</v>
      </c>
    </row>
    <row r="882" spans="18:19" x14ac:dyDescent="0.45">
      <c r="R882">
        <v>870</v>
      </c>
      <c r="S882" s="13">
        <v>2.4551191895263023E-2</v>
      </c>
    </row>
    <row r="883" spans="18:19" x14ac:dyDescent="0.45">
      <c r="R883">
        <v>871</v>
      </c>
      <c r="S883" s="13">
        <v>1.3179206658124942E-2</v>
      </c>
    </row>
    <row r="884" spans="18:19" x14ac:dyDescent="0.45">
      <c r="R884">
        <v>872</v>
      </c>
      <c r="S884" s="13">
        <v>1.3533793298362053E-3</v>
      </c>
    </row>
    <row r="885" spans="18:19" x14ac:dyDescent="0.45">
      <c r="R885">
        <v>873</v>
      </c>
      <c r="S885" s="13">
        <v>3.3694374659863115E-2</v>
      </c>
    </row>
    <row r="886" spans="18:19" x14ac:dyDescent="0.45">
      <c r="R886">
        <v>874</v>
      </c>
      <c r="S886" s="13">
        <v>5.8527633612327091E-3</v>
      </c>
    </row>
    <row r="887" spans="18:19" x14ac:dyDescent="0.45">
      <c r="R887">
        <v>875</v>
      </c>
      <c r="S887" s="13">
        <v>3.0114627030491038E-2</v>
      </c>
    </row>
    <row r="888" spans="18:19" x14ac:dyDescent="0.45">
      <c r="R888">
        <v>876</v>
      </c>
      <c r="S888" s="13">
        <v>1.10574426287208E-2</v>
      </c>
    </row>
    <row r="889" spans="18:19" x14ac:dyDescent="0.45">
      <c r="R889">
        <v>877</v>
      </c>
      <c r="S889" s="13">
        <v>2.2452754281048079E-2</v>
      </c>
    </row>
    <row r="890" spans="18:19" x14ac:dyDescent="0.45">
      <c r="R890">
        <v>878</v>
      </c>
      <c r="S890" s="13">
        <v>1.3020374642128881E-2</v>
      </c>
    </row>
    <row r="891" spans="18:19" x14ac:dyDescent="0.45">
      <c r="R891">
        <v>879</v>
      </c>
      <c r="S891" s="13">
        <v>1.2987389855288767E-2</v>
      </c>
    </row>
    <row r="892" spans="18:19" x14ac:dyDescent="0.45">
      <c r="R892">
        <v>880</v>
      </c>
      <c r="S892" s="13">
        <v>1.9484449499391349E-3</v>
      </c>
    </row>
    <row r="893" spans="18:19" x14ac:dyDescent="0.45">
      <c r="R893">
        <v>881</v>
      </c>
      <c r="S893" s="13">
        <v>6.9847858224881786E-3</v>
      </c>
    </row>
    <row r="894" spans="18:19" x14ac:dyDescent="0.45">
      <c r="R894">
        <v>882</v>
      </c>
      <c r="S894" s="13">
        <v>3.1882431374403233E-2</v>
      </c>
    </row>
    <row r="895" spans="18:19" x14ac:dyDescent="0.45">
      <c r="R895">
        <v>883</v>
      </c>
      <c r="S895" s="13">
        <v>1.558306872886168E-2</v>
      </c>
    </row>
    <row r="896" spans="18:19" x14ac:dyDescent="0.45">
      <c r="R896">
        <v>884</v>
      </c>
      <c r="S896" s="13">
        <v>3.2061071260393162E-2</v>
      </c>
    </row>
    <row r="897" spans="18:19" x14ac:dyDescent="0.45">
      <c r="R897">
        <v>885</v>
      </c>
      <c r="S897" s="13">
        <v>2.0584913794588898E-2</v>
      </c>
    </row>
    <row r="898" spans="18:19" x14ac:dyDescent="0.45">
      <c r="R898">
        <v>886</v>
      </c>
      <c r="S898" s="13">
        <v>3.0279678209906333E-2</v>
      </c>
    </row>
    <row r="899" spans="18:19" x14ac:dyDescent="0.45">
      <c r="R899">
        <v>887</v>
      </c>
      <c r="S899" s="13">
        <v>2.6356652393819874E-2</v>
      </c>
    </row>
    <row r="900" spans="18:19" x14ac:dyDescent="0.45">
      <c r="R900">
        <v>888</v>
      </c>
      <c r="S900" s="13">
        <v>2.4592366406773369E-2</v>
      </c>
    </row>
    <row r="901" spans="18:19" x14ac:dyDescent="0.45">
      <c r="R901">
        <v>889</v>
      </c>
      <c r="S901" s="13">
        <v>2.327065237330412E-3</v>
      </c>
    </row>
    <row r="902" spans="18:19" x14ac:dyDescent="0.45">
      <c r="R902">
        <v>890</v>
      </c>
      <c r="S902" s="13">
        <v>1.1865808861877001E-2</v>
      </c>
    </row>
    <row r="903" spans="18:19" x14ac:dyDescent="0.45">
      <c r="R903">
        <v>891</v>
      </c>
      <c r="S903" s="13">
        <v>2.462259982575659E-2</v>
      </c>
    </row>
    <row r="904" spans="18:19" x14ac:dyDescent="0.45">
      <c r="R904">
        <v>892</v>
      </c>
      <c r="S904" s="13">
        <v>3.333578750168225E-2</v>
      </c>
    </row>
    <row r="905" spans="18:19" x14ac:dyDescent="0.45">
      <c r="R905">
        <v>893</v>
      </c>
      <c r="S905" s="13">
        <v>3.0124042899806844E-2</v>
      </c>
    </row>
    <row r="906" spans="18:19" x14ac:dyDescent="0.45">
      <c r="R906">
        <v>894</v>
      </c>
      <c r="S906" s="13">
        <v>2.2304729394001667E-2</v>
      </c>
    </row>
    <row r="907" spans="18:19" x14ac:dyDescent="0.45">
      <c r="R907">
        <v>895</v>
      </c>
      <c r="S907" s="13">
        <v>1.1081531572572982E-2</v>
      </c>
    </row>
    <row r="908" spans="18:19" x14ac:dyDescent="0.45">
      <c r="R908">
        <v>896</v>
      </c>
      <c r="S908" s="13">
        <v>2.0228280291504964E-2</v>
      </c>
    </row>
    <row r="909" spans="18:19" x14ac:dyDescent="0.45">
      <c r="R909">
        <v>897</v>
      </c>
      <c r="S909" s="13">
        <v>2.1954367336631607E-2</v>
      </c>
    </row>
    <row r="910" spans="18:19" x14ac:dyDescent="0.45">
      <c r="R910">
        <v>898</v>
      </c>
      <c r="S910" s="13">
        <v>3.1815460536606291E-2</v>
      </c>
    </row>
    <row r="911" spans="18:19" x14ac:dyDescent="0.45">
      <c r="R911">
        <v>899</v>
      </c>
      <c r="S911" s="13">
        <v>2.3300332845894646E-2</v>
      </c>
    </row>
    <row r="912" spans="18:19" x14ac:dyDescent="0.45">
      <c r="R912">
        <v>900</v>
      </c>
      <c r="S912" s="13">
        <v>1.2836471879400971E-2</v>
      </c>
    </row>
    <row r="913" spans="18:19" x14ac:dyDescent="0.45">
      <c r="R913">
        <v>901</v>
      </c>
      <c r="S913" s="13">
        <v>2.0142001280479865E-2</v>
      </c>
    </row>
    <row r="914" spans="18:19" x14ac:dyDescent="0.45">
      <c r="R914">
        <v>902</v>
      </c>
      <c r="S914" s="13">
        <v>3.0302922418296296E-2</v>
      </c>
    </row>
    <row r="915" spans="18:19" x14ac:dyDescent="0.45">
      <c r="R915">
        <v>903</v>
      </c>
      <c r="S915" s="13">
        <v>2.8093666885813315E-3</v>
      </c>
    </row>
    <row r="916" spans="18:19" x14ac:dyDescent="0.45">
      <c r="R916">
        <v>904</v>
      </c>
      <c r="S916" s="13">
        <v>1.7500624335005457E-2</v>
      </c>
    </row>
    <row r="917" spans="18:19" x14ac:dyDescent="0.45">
      <c r="R917">
        <v>905</v>
      </c>
      <c r="S917" s="13">
        <v>7.4852958028670587E-3</v>
      </c>
    </row>
    <row r="918" spans="18:19" x14ac:dyDescent="0.45">
      <c r="R918">
        <v>906</v>
      </c>
      <c r="S918" s="13">
        <v>1.83691464674373E-2</v>
      </c>
    </row>
    <row r="919" spans="18:19" x14ac:dyDescent="0.45">
      <c r="R919">
        <v>907</v>
      </c>
      <c r="S919" s="13">
        <v>7.0123020695544453E-3</v>
      </c>
    </row>
    <row r="920" spans="18:19" x14ac:dyDescent="0.45">
      <c r="R920">
        <v>908</v>
      </c>
      <c r="S920" s="13">
        <v>2.0519171842866026E-2</v>
      </c>
    </row>
    <row r="921" spans="18:19" x14ac:dyDescent="0.45">
      <c r="R921">
        <v>909</v>
      </c>
      <c r="S921" s="13">
        <v>7.274273321927413E-3</v>
      </c>
    </row>
    <row r="922" spans="18:19" x14ac:dyDescent="0.45">
      <c r="R922">
        <v>910</v>
      </c>
      <c r="S922" s="13">
        <v>2.6038677118257424E-2</v>
      </c>
    </row>
    <row r="923" spans="18:19" x14ac:dyDescent="0.45">
      <c r="R923">
        <v>911</v>
      </c>
      <c r="S923" s="13">
        <v>2.033684771238391E-2</v>
      </c>
    </row>
    <row r="924" spans="18:19" x14ac:dyDescent="0.45">
      <c r="R924">
        <v>912</v>
      </c>
      <c r="S924" s="13">
        <v>6.1814132372641911E-3</v>
      </c>
    </row>
    <row r="925" spans="18:19" x14ac:dyDescent="0.45">
      <c r="R925">
        <v>913</v>
      </c>
      <c r="S925" s="13">
        <v>1.6392940706018194E-2</v>
      </c>
    </row>
    <row r="926" spans="18:19" x14ac:dyDescent="0.45">
      <c r="R926">
        <v>914</v>
      </c>
      <c r="S926" s="13">
        <v>-3.3098996206645803E-4</v>
      </c>
    </row>
    <row r="927" spans="18:19" x14ac:dyDescent="0.45">
      <c r="R927">
        <v>915</v>
      </c>
      <c r="S927" s="13">
        <v>2.7540119258883135E-2</v>
      </c>
    </row>
    <row r="928" spans="18:19" x14ac:dyDescent="0.45">
      <c r="R928">
        <v>916</v>
      </c>
      <c r="S928" s="13">
        <v>2.101652497945726E-2</v>
      </c>
    </row>
    <row r="929" spans="18:19" x14ac:dyDescent="0.45">
      <c r="R929">
        <v>917</v>
      </c>
      <c r="S929" s="13">
        <v>1.1384479771175317E-2</v>
      </c>
    </row>
    <row r="930" spans="18:19" x14ac:dyDescent="0.45">
      <c r="R930">
        <v>918</v>
      </c>
      <c r="S930" s="13">
        <v>1.2716057173042104E-2</v>
      </c>
    </row>
    <row r="931" spans="18:19" x14ac:dyDescent="0.45">
      <c r="R931">
        <v>919</v>
      </c>
      <c r="S931" s="13">
        <v>3.0572656413770015E-2</v>
      </c>
    </row>
    <row r="932" spans="18:19" x14ac:dyDescent="0.45">
      <c r="R932">
        <v>920</v>
      </c>
      <c r="S932" s="13">
        <v>1.4508028927034696E-2</v>
      </c>
    </row>
    <row r="933" spans="18:19" x14ac:dyDescent="0.45">
      <c r="R933">
        <v>921</v>
      </c>
      <c r="S933" s="13">
        <v>3.6380861351580841E-2</v>
      </c>
    </row>
    <row r="934" spans="18:19" x14ac:dyDescent="0.45">
      <c r="R934">
        <v>922</v>
      </c>
      <c r="S934" s="13">
        <v>2.4466890426952281E-2</v>
      </c>
    </row>
    <row r="935" spans="18:19" x14ac:dyDescent="0.45">
      <c r="R935">
        <v>923</v>
      </c>
      <c r="S935" s="13">
        <v>2.0138699076969017E-2</v>
      </c>
    </row>
    <row r="936" spans="18:19" x14ac:dyDescent="0.45">
      <c r="R936">
        <v>924</v>
      </c>
      <c r="S936" s="13">
        <v>8.9472592495868225E-3</v>
      </c>
    </row>
    <row r="937" spans="18:19" x14ac:dyDescent="0.45">
      <c r="R937">
        <v>925</v>
      </c>
      <c r="S937" s="13">
        <v>2.4831102076479587E-2</v>
      </c>
    </row>
    <row r="938" spans="18:19" x14ac:dyDescent="0.45">
      <c r="R938">
        <v>926</v>
      </c>
      <c r="S938" s="13">
        <v>1.9575567065325435E-2</v>
      </c>
    </row>
    <row r="939" spans="18:19" x14ac:dyDescent="0.45">
      <c r="R939">
        <v>927</v>
      </c>
      <c r="S939" s="13">
        <v>3.3469680321877845E-2</v>
      </c>
    </row>
    <row r="940" spans="18:19" x14ac:dyDescent="0.45">
      <c r="R940">
        <v>928</v>
      </c>
      <c r="S940" s="13">
        <v>1.9051110198969459E-2</v>
      </c>
    </row>
    <row r="941" spans="18:19" x14ac:dyDescent="0.45">
      <c r="R941">
        <v>929</v>
      </c>
      <c r="S941" s="13">
        <v>1.1658624320242544E-2</v>
      </c>
    </row>
    <row r="942" spans="18:19" x14ac:dyDescent="0.45">
      <c r="R942">
        <v>930</v>
      </c>
      <c r="S942" s="13">
        <v>2.7105461418099056E-2</v>
      </c>
    </row>
    <row r="943" spans="18:19" x14ac:dyDescent="0.45">
      <c r="R943">
        <v>931</v>
      </c>
      <c r="S943" s="13">
        <v>3.3361821447997445E-2</v>
      </c>
    </row>
    <row r="944" spans="18:19" x14ac:dyDescent="0.45">
      <c r="R944">
        <v>932</v>
      </c>
      <c r="S944" s="13">
        <v>1.1769481167272718E-2</v>
      </c>
    </row>
    <row r="945" spans="18:19" x14ac:dyDescent="0.45">
      <c r="R945">
        <v>933</v>
      </c>
      <c r="S945" s="13">
        <v>-3.361204805284318E-4</v>
      </c>
    </row>
    <row r="946" spans="18:19" x14ac:dyDescent="0.45">
      <c r="R946">
        <v>934</v>
      </c>
      <c r="S946" s="13">
        <v>1.6211738217552396E-2</v>
      </c>
    </row>
    <row r="947" spans="18:19" x14ac:dyDescent="0.45">
      <c r="R947">
        <v>935</v>
      </c>
      <c r="S947" s="13">
        <v>3.5346234534659182E-2</v>
      </c>
    </row>
    <row r="948" spans="18:19" x14ac:dyDescent="0.45">
      <c r="R948">
        <v>936</v>
      </c>
      <c r="S948" s="13">
        <v>2.2264338647751146E-2</v>
      </c>
    </row>
    <row r="949" spans="18:19" x14ac:dyDescent="0.45">
      <c r="R949">
        <v>937</v>
      </c>
      <c r="S949" s="13">
        <v>1.3154856739047037E-2</v>
      </c>
    </row>
    <row r="950" spans="18:19" x14ac:dyDescent="0.45">
      <c r="R950">
        <v>938</v>
      </c>
      <c r="S950" s="13">
        <v>2.9243666538744786E-2</v>
      </c>
    </row>
    <row r="951" spans="18:19" x14ac:dyDescent="0.45">
      <c r="R951">
        <v>939</v>
      </c>
      <c r="S951" s="13">
        <v>2.6164938373623686E-2</v>
      </c>
    </row>
    <row r="952" spans="18:19" x14ac:dyDescent="0.45">
      <c r="R952">
        <v>940</v>
      </c>
      <c r="S952" s="13">
        <v>3.120485384129866E-2</v>
      </c>
    </row>
    <row r="953" spans="18:19" x14ac:dyDescent="0.45">
      <c r="R953">
        <v>941</v>
      </c>
      <c r="S953" s="13">
        <v>2.6887829628889949E-2</v>
      </c>
    </row>
    <row r="954" spans="18:19" x14ac:dyDescent="0.45">
      <c r="R954">
        <v>942</v>
      </c>
      <c r="S954" s="13">
        <v>2.3880636395384441E-2</v>
      </c>
    </row>
    <row r="955" spans="18:19" x14ac:dyDescent="0.45">
      <c r="R955">
        <v>943</v>
      </c>
      <c r="S955" s="13">
        <v>3.1897502926621357E-2</v>
      </c>
    </row>
    <row r="956" spans="18:19" x14ac:dyDescent="0.45">
      <c r="R956">
        <v>944</v>
      </c>
      <c r="S956" s="13">
        <v>2.2125401485293267E-2</v>
      </c>
    </row>
    <row r="957" spans="18:19" x14ac:dyDescent="0.45">
      <c r="R957">
        <v>945</v>
      </c>
      <c r="S957" s="13">
        <v>2.2570441856758234E-2</v>
      </c>
    </row>
    <row r="958" spans="18:19" x14ac:dyDescent="0.45">
      <c r="R958">
        <v>946</v>
      </c>
      <c r="S958" s="13">
        <v>1.7631641141201422E-2</v>
      </c>
    </row>
    <row r="959" spans="18:19" x14ac:dyDescent="0.45">
      <c r="R959">
        <v>947</v>
      </c>
      <c r="S959" s="13">
        <v>2.3251179883875407E-2</v>
      </c>
    </row>
    <row r="960" spans="18:19" x14ac:dyDescent="0.45">
      <c r="R960">
        <v>948</v>
      </c>
      <c r="S960" s="13">
        <v>1.9770887382646662E-2</v>
      </c>
    </row>
    <row r="961" spans="18:19" x14ac:dyDescent="0.45">
      <c r="R961">
        <v>949</v>
      </c>
      <c r="S961" s="13">
        <v>3.0027596095987333E-3</v>
      </c>
    </row>
    <row r="962" spans="18:19" x14ac:dyDescent="0.45">
      <c r="R962">
        <v>950</v>
      </c>
      <c r="S962" s="13">
        <v>1.5293840693997123E-2</v>
      </c>
    </row>
    <row r="963" spans="18:19" x14ac:dyDescent="0.45">
      <c r="R963">
        <v>951</v>
      </c>
      <c r="S963" s="13">
        <v>2.4706908908049906E-2</v>
      </c>
    </row>
    <row r="964" spans="18:19" x14ac:dyDescent="0.45">
      <c r="R964">
        <v>952</v>
      </c>
      <c r="S964" s="13">
        <v>2.2731518683727293E-2</v>
      </c>
    </row>
    <row r="965" spans="18:19" x14ac:dyDescent="0.45">
      <c r="R965">
        <v>953</v>
      </c>
      <c r="S965" s="13">
        <v>2.3077741624660211E-2</v>
      </c>
    </row>
    <row r="966" spans="18:19" x14ac:dyDescent="0.45">
      <c r="R966">
        <v>954</v>
      </c>
      <c r="S966" s="13">
        <v>3.2343305968686668E-2</v>
      </c>
    </row>
    <row r="967" spans="18:19" x14ac:dyDescent="0.45">
      <c r="R967">
        <v>955</v>
      </c>
      <c r="S967" s="13">
        <v>2.5725126604106068E-2</v>
      </c>
    </row>
    <row r="968" spans="18:19" x14ac:dyDescent="0.45">
      <c r="R968">
        <v>956</v>
      </c>
      <c r="S968" s="13">
        <v>1.6157539076828827E-2</v>
      </c>
    </row>
    <row r="969" spans="18:19" x14ac:dyDescent="0.45">
      <c r="R969">
        <v>957</v>
      </c>
      <c r="S969" s="13">
        <v>3.5185182625064759E-2</v>
      </c>
    </row>
    <row r="970" spans="18:19" x14ac:dyDescent="0.45">
      <c r="R970">
        <v>958</v>
      </c>
      <c r="S970" s="13">
        <v>-6.2390910039450687E-3</v>
      </c>
    </row>
    <row r="971" spans="18:19" x14ac:dyDescent="0.45">
      <c r="R971">
        <v>959</v>
      </c>
      <c r="S971" s="13">
        <v>1.052483274353979E-2</v>
      </c>
    </row>
    <row r="972" spans="18:19" x14ac:dyDescent="0.45">
      <c r="R972">
        <v>960</v>
      </c>
      <c r="S972" s="13">
        <v>1.2096918388683613E-2</v>
      </c>
    </row>
    <row r="973" spans="18:19" x14ac:dyDescent="0.45">
      <c r="R973">
        <v>961</v>
      </c>
      <c r="S973" s="13">
        <v>1.9164934246620836E-2</v>
      </c>
    </row>
    <row r="974" spans="18:19" x14ac:dyDescent="0.45">
      <c r="R974">
        <v>962</v>
      </c>
      <c r="S974" s="13">
        <v>2.0453084769818171E-2</v>
      </c>
    </row>
    <row r="975" spans="18:19" x14ac:dyDescent="0.45">
      <c r="R975">
        <v>963</v>
      </c>
      <c r="S975" s="13">
        <v>1.9329145991934204E-2</v>
      </c>
    </row>
    <row r="976" spans="18:19" x14ac:dyDescent="0.45">
      <c r="R976">
        <v>964</v>
      </c>
      <c r="S976" s="13">
        <v>1.311065029541611E-2</v>
      </c>
    </row>
    <row r="977" spans="18:19" x14ac:dyDescent="0.45">
      <c r="R977">
        <v>965</v>
      </c>
      <c r="S977" s="13">
        <v>2.2011287311326049E-2</v>
      </c>
    </row>
    <row r="978" spans="18:19" x14ac:dyDescent="0.45">
      <c r="R978">
        <v>966</v>
      </c>
      <c r="S978" s="13">
        <v>2.6817291850037964E-2</v>
      </c>
    </row>
    <row r="979" spans="18:19" x14ac:dyDescent="0.45">
      <c r="R979">
        <v>967</v>
      </c>
      <c r="S979" s="13">
        <v>2.9837489766272009E-2</v>
      </c>
    </row>
    <row r="980" spans="18:19" x14ac:dyDescent="0.45">
      <c r="R980">
        <v>968</v>
      </c>
      <c r="S980" s="13">
        <v>1.4269301737373256E-2</v>
      </c>
    </row>
    <row r="981" spans="18:19" x14ac:dyDescent="0.45">
      <c r="R981">
        <v>969</v>
      </c>
      <c r="S981" s="13">
        <v>2.280134135455282E-2</v>
      </c>
    </row>
    <row r="982" spans="18:19" x14ac:dyDescent="0.45">
      <c r="R982">
        <v>970</v>
      </c>
      <c r="S982" s="13">
        <v>1.9025440530771161E-2</v>
      </c>
    </row>
    <row r="983" spans="18:19" x14ac:dyDescent="0.45">
      <c r="R983">
        <v>971</v>
      </c>
      <c r="S983" s="13">
        <v>2.1237359458835921E-2</v>
      </c>
    </row>
    <row r="984" spans="18:19" x14ac:dyDescent="0.45">
      <c r="R984">
        <v>972</v>
      </c>
      <c r="S984" s="13">
        <v>2.4388388065928496E-2</v>
      </c>
    </row>
    <row r="985" spans="18:19" x14ac:dyDescent="0.45">
      <c r="R985">
        <v>973</v>
      </c>
      <c r="S985" s="13">
        <v>2.3329190319087246E-2</v>
      </c>
    </row>
    <row r="986" spans="18:19" x14ac:dyDescent="0.45">
      <c r="R986">
        <v>974</v>
      </c>
      <c r="S986" s="13">
        <v>3.0016655251816439E-2</v>
      </c>
    </row>
    <row r="987" spans="18:19" x14ac:dyDescent="0.45">
      <c r="R987">
        <v>975</v>
      </c>
      <c r="S987" s="13">
        <v>2.4437139237645407E-2</v>
      </c>
    </row>
    <row r="988" spans="18:19" x14ac:dyDescent="0.45">
      <c r="R988">
        <v>976</v>
      </c>
      <c r="S988" s="13">
        <v>2.6652304674949966E-2</v>
      </c>
    </row>
    <row r="989" spans="18:19" x14ac:dyDescent="0.45">
      <c r="R989">
        <v>977</v>
      </c>
      <c r="S989" s="13">
        <v>3.2208092782897366E-3</v>
      </c>
    </row>
    <row r="990" spans="18:19" x14ac:dyDescent="0.45">
      <c r="R990">
        <v>978</v>
      </c>
      <c r="S990" s="13">
        <v>2.498170183681319E-2</v>
      </c>
    </row>
    <row r="991" spans="18:19" x14ac:dyDescent="0.45">
      <c r="R991">
        <v>979</v>
      </c>
      <c r="S991" s="13">
        <v>2.430478547130166E-2</v>
      </c>
    </row>
    <row r="992" spans="18:19" x14ac:dyDescent="0.45">
      <c r="R992">
        <v>980</v>
      </c>
      <c r="S992" s="13">
        <v>1.3130887312068126E-2</v>
      </c>
    </row>
    <row r="993" spans="18:19" x14ac:dyDescent="0.45">
      <c r="R993">
        <v>981</v>
      </c>
      <c r="S993" s="13">
        <v>-2.3861042285964473E-3</v>
      </c>
    </row>
    <row r="994" spans="18:19" x14ac:dyDescent="0.45">
      <c r="R994">
        <v>982</v>
      </c>
      <c r="S994" s="13">
        <v>3.0166154986464855E-4</v>
      </c>
    </row>
    <row r="995" spans="18:19" x14ac:dyDescent="0.45">
      <c r="R995">
        <v>983</v>
      </c>
      <c r="S995" s="13">
        <v>3.5441891315189177E-2</v>
      </c>
    </row>
    <row r="996" spans="18:19" x14ac:dyDescent="0.45">
      <c r="R996">
        <v>984</v>
      </c>
      <c r="S996" s="13">
        <v>3.6621345902527205E-2</v>
      </c>
    </row>
    <row r="997" spans="18:19" x14ac:dyDescent="0.45">
      <c r="R997">
        <v>985</v>
      </c>
      <c r="S997" s="13">
        <v>1.0735786494899934E-2</v>
      </c>
    </row>
    <row r="998" spans="18:19" x14ac:dyDescent="0.45">
      <c r="R998">
        <v>986</v>
      </c>
      <c r="S998" s="13">
        <v>2.6895739335452747E-2</v>
      </c>
    </row>
    <row r="999" spans="18:19" x14ac:dyDescent="0.45">
      <c r="R999">
        <v>987</v>
      </c>
      <c r="S999" s="13">
        <v>2.9785943360587375E-2</v>
      </c>
    </row>
    <row r="1000" spans="18:19" x14ac:dyDescent="0.45">
      <c r="R1000">
        <v>988</v>
      </c>
      <c r="S1000" s="13">
        <v>2.3640606459118158E-2</v>
      </c>
    </row>
    <row r="1001" spans="18:19" x14ac:dyDescent="0.45">
      <c r="R1001">
        <v>989</v>
      </c>
      <c r="S1001" s="13">
        <v>3.4822438810790141E-2</v>
      </c>
    </row>
    <row r="1002" spans="18:19" x14ac:dyDescent="0.45">
      <c r="R1002">
        <v>990</v>
      </c>
      <c r="S1002" s="13">
        <v>2.6299392458273136E-2</v>
      </c>
    </row>
    <row r="1003" spans="18:19" x14ac:dyDescent="0.45">
      <c r="R1003">
        <v>991</v>
      </c>
      <c r="S1003" s="13">
        <v>8.6951637802516885E-3</v>
      </c>
    </row>
    <row r="1004" spans="18:19" x14ac:dyDescent="0.45">
      <c r="R1004">
        <v>992</v>
      </c>
      <c r="S1004" s="13">
        <v>2.4209762385339579E-2</v>
      </c>
    </row>
    <row r="1005" spans="18:19" x14ac:dyDescent="0.45">
      <c r="R1005">
        <v>993</v>
      </c>
      <c r="S1005" s="13">
        <v>2.3075844792873765E-2</v>
      </c>
    </row>
    <row r="1006" spans="18:19" x14ac:dyDescent="0.45">
      <c r="R1006">
        <v>994</v>
      </c>
      <c r="S1006" s="13">
        <v>7.1280048188172192E-3</v>
      </c>
    </row>
    <row r="1007" spans="18:19" x14ac:dyDescent="0.45">
      <c r="R1007">
        <v>995</v>
      </c>
      <c r="S1007" s="13">
        <v>3.589729637777115E-2</v>
      </c>
    </row>
    <row r="1008" spans="18:19" x14ac:dyDescent="0.45">
      <c r="R1008">
        <v>996</v>
      </c>
      <c r="S1008" s="13">
        <v>7.0479917764725737E-3</v>
      </c>
    </row>
    <row r="1009" spans="18:19" x14ac:dyDescent="0.45">
      <c r="R1009">
        <v>997</v>
      </c>
      <c r="S1009" s="13">
        <v>2.2361377669658372E-3</v>
      </c>
    </row>
    <row r="1010" spans="18:19" x14ac:dyDescent="0.45">
      <c r="R1010">
        <v>998</v>
      </c>
      <c r="S1010" s="13">
        <v>2.6723720632374423E-3</v>
      </c>
    </row>
    <row r="1011" spans="18:19" x14ac:dyDescent="0.45">
      <c r="R1011">
        <v>999</v>
      </c>
      <c r="S1011" s="13">
        <v>3.8887799241220718E-2</v>
      </c>
    </row>
    <row r="1012" spans="18:19" x14ac:dyDescent="0.45">
      <c r="R1012">
        <v>1000</v>
      </c>
      <c r="S1012" s="13">
        <v>2.1574118596003319E-2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75D0A-543B-4269-AE49-27252B5FED51}">
  <dimension ref="A1:S19"/>
  <sheetViews>
    <sheetView showGridLines="0" topLeftCell="D1" workbookViewId="0">
      <selection activeCell="H22" sqref="H22"/>
    </sheetView>
  </sheetViews>
  <sheetFormatPr defaultRowHeight="14.25" x14ac:dyDescent="0.45"/>
  <cols>
    <col min="1" max="1" width="2.33203125" customWidth="1"/>
    <col min="2" max="2" width="6.1328125" bestFit="1" customWidth="1"/>
    <col min="3" max="3" width="30" bestFit="1" customWidth="1"/>
    <col min="4" max="4" width="12" bestFit="1" customWidth="1"/>
    <col min="5" max="5" width="9.1328125" bestFit="1" customWidth="1"/>
  </cols>
  <sheetData>
    <row r="1" spans="1:18" x14ac:dyDescent="0.45">
      <c r="A1" s="24" t="s">
        <v>71</v>
      </c>
    </row>
    <row r="2" spans="1:18" x14ac:dyDescent="0.45">
      <c r="A2" s="24" t="s">
        <v>96</v>
      </c>
      <c r="J2" s="98"/>
      <c r="K2" s="98"/>
      <c r="L2" s="98"/>
      <c r="M2" s="98"/>
      <c r="N2" s="98"/>
      <c r="O2" s="98"/>
    </row>
    <row r="3" spans="1:18" x14ac:dyDescent="0.45">
      <c r="A3" s="24" t="s">
        <v>97</v>
      </c>
      <c r="J3" s="98"/>
      <c r="K3" s="98"/>
      <c r="L3" s="98"/>
      <c r="M3" s="98"/>
      <c r="N3" s="98"/>
      <c r="O3" s="98"/>
      <c r="P3" s="98"/>
      <c r="Q3" s="98"/>
    </row>
    <row r="5" spans="1:18" x14ac:dyDescent="0.45">
      <c r="J5" s="97"/>
      <c r="K5" s="97"/>
      <c r="L5" s="97"/>
      <c r="M5" s="97"/>
      <c r="N5" s="97"/>
      <c r="O5" s="97"/>
      <c r="P5" s="97"/>
      <c r="Q5" s="97"/>
      <c r="R5" s="97"/>
    </row>
    <row r="6" spans="1:18" ht="14.65" thickBot="1" x14ac:dyDescent="0.5">
      <c r="A6" t="s">
        <v>73</v>
      </c>
      <c r="J6" s="97"/>
      <c r="K6" s="97"/>
      <c r="L6" s="97"/>
      <c r="M6" s="97"/>
      <c r="N6" s="97"/>
      <c r="O6" s="97"/>
      <c r="P6" s="97"/>
      <c r="Q6" s="97"/>
      <c r="R6" s="97"/>
    </row>
    <row r="7" spans="1:18" x14ac:dyDescent="0.45">
      <c r="B7" s="45"/>
      <c r="C7" s="45"/>
      <c r="D7" s="45" t="s">
        <v>76</v>
      </c>
      <c r="E7" s="45" t="s">
        <v>78</v>
      </c>
      <c r="J7" s="97"/>
      <c r="K7" s="97"/>
      <c r="L7" s="97"/>
      <c r="M7" s="97"/>
      <c r="N7" s="97"/>
      <c r="O7" s="97"/>
      <c r="P7" s="97"/>
      <c r="Q7" s="97"/>
      <c r="R7" s="97"/>
    </row>
    <row r="8" spans="1:18" ht="14.65" thickBot="1" x14ac:dyDescent="0.5">
      <c r="B8" s="46" t="s">
        <v>74</v>
      </c>
      <c r="C8" s="46" t="s">
        <v>75</v>
      </c>
      <c r="D8" s="46" t="s">
        <v>77</v>
      </c>
      <c r="E8" s="46" t="s">
        <v>79</v>
      </c>
      <c r="J8" s="95"/>
      <c r="K8" s="95"/>
      <c r="L8" s="95"/>
      <c r="M8" s="95"/>
      <c r="N8" s="95"/>
      <c r="O8" s="95"/>
      <c r="P8" s="95"/>
      <c r="Q8" s="95"/>
      <c r="R8" s="95"/>
    </row>
    <row r="9" spans="1:18" x14ac:dyDescent="0.45">
      <c r="B9" s="43" t="s">
        <v>83</v>
      </c>
      <c r="C9" s="43" t="s">
        <v>84</v>
      </c>
      <c r="D9" s="43">
        <v>0.4</v>
      </c>
      <c r="E9" s="43">
        <v>0</v>
      </c>
      <c r="J9" s="95"/>
      <c r="K9" s="95"/>
      <c r="L9" s="95"/>
      <c r="M9" s="95"/>
      <c r="N9" s="95"/>
      <c r="O9" s="95"/>
      <c r="P9" s="95"/>
      <c r="Q9" s="95"/>
      <c r="R9" s="95"/>
    </row>
    <row r="10" spans="1:18" x14ac:dyDescent="0.45">
      <c r="B10" s="43" t="s">
        <v>85</v>
      </c>
      <c r="C10" s="43" t="s">
        <v>86</v>
      </c>
      <c r="D10" s="43">
        <v>0.3</v>
      </c>
      <c r="E10" s="43">
        <v>0</v>
      </c>
      <c r="J10" s="95"/>
      <c r="K10" s="95"/>
      <c r="L10" s="95"/>
      <c r="M10" s="95"/>
      <c r="N10" s="95"/>
      <c r="O10" s="95"/>
      <c r="P10" s="95"/>
      <c r="Q10" s="95"/>
      <c r="R10" s="95"/>
    </row>
    <row r="11" spans="1:18" ht="14.65" thickBot="1" x14ac:dyDescent="0.5">
      <c r="B11" s="44" t="s">
        <v>87</v>
      </c>
      <c r="C11" s="44" t="s">
        <v>88</v>
      </c>
      <c r="D11" s="44">
        <v>0.3</v>
      </c>
      <c r="E11" s="44">
        <v>0</v>
      </c>
    </row>
    <row r="12" spans="1:18" x14ac:dyDescent="0.45">
      <c r="J12" s="95"/>
      <c r="K12" s="95"/>
      <c r="L12" s="95"/>
      <c r="M12" s="95"/>
      <c r="N12" s="95"/>
      <c r="O12" s="95"/>
      <c r="P12" s="95"/>
      <c r="Q12" s="95"/>
      <c r="R12" s="95"/>
    </row>
    <row r="13" spans="1:18" ht="14.65" thickBot="1" x14ac:dyDescent="0.5">
      <c r="A13" t="s">
        <v>80</v>
      </c>
      <c r="J13" s="95"/>
      <c r="K13" s="95"/>
      <c r="L13" s="95"/>
      <c r="M13" s="95"/>
      <c r="N13" s="95"/>
      <c r="O13" s="95"/>
      <c r="P13" s="95"/>
      <c r="Q13" s="95"/>
      <c r="R13" s="95"/>
    </row>
    <row r="14" spans="1:18" x14ac:dyDescent="0.45">
      <c r="B14" s="45"/>
      <c r="C14" s="45"/>
      <c r="D14" s="45" t="s">
        <v>76</v>
      </c>
      <c r="E14" s="45" t="s">
        <v>81</v>
      </c>
      <c r="J14" s="95"/>
      <c r="K14" s="95"/>
      <c r="L14" s="95"/>
      <c r="M14" s="95"/>
      <c r="N14" s="95"/>
      <c r="O14" s="95"/>
      <c r="P14" s="95"/>
      <c r="Q14" s="95"/>
      <c r="R14" s="95"/>
    </row>
    <row r="15" spans="1:18" ht="14.65" thickBot="1" x14ac:dyDescent="0.5">
      <c r="B15" s="46" t="s">
        <v>74</v>
      </c>
      <c r="C15" s="46" t="s">
        <v>75</v>
      </c>
      <c r="D15" s="46" t="s">
        <v>77</v>
      </c>
      <c r="E15" s="46" t="s">
        <v>82</v>
      </c>
    </row>
    <row r="16" spans="1:18" x14ac:dyDescent="0.45">
      <c r="B16" s="43" t="s">
        <v>89</v>
      </c>
      <c r="C16" s="43" t="s">
        <v>90</v>
      </c>
      <c r="D16" s="43">
        <v>7.2576253003306807E-2</v>
      </c>
      <c r="E16" s="43">
        <v>0</v>
      </c>
      <c r="J16" s="95"/>
      <c r="K16" s="95"/>
      <c r="L16" s="95"/>
      <c r="M16" s="95"/>
      <c r="N16" s="95"/>
      <c r="O16" s="95"/>
      <c r="P16" s="95"/>
      <c r="Q16" s="95"/>
      <c r="R16" s="95"/>
    </row>
    <row r="17" spans="2:19" ht="14.65" thickBot="1" x14ac:dyDescent="0.5">
      <c r="B17" s="44" t="s">
        <v>91</v>
      </c>
      <c r="C17" s="44" t="s">
        <v>8</v>
      </c>
      <c r="D17" s="44">
        <v>1</v>
      </c>
      <c r="E17" s="44">
        <v>0</v>
      </c>
      <c r="J17" s="95"/>
      <c r="K17" s="95"/>
      <c r="L17" s="95"/>
      <c r="M17" s="95"/>
      <c r="N17" s="95"/>
      <c r="O17" s="95"/>
      <c r="P17" s="95"/>
      <c r="Q17" s="95"/>
      <c r="R17" s="95"/>
    </row>
    <row r="19" spans="2:19" x14ac:dyDescent="0.45">
      <c r="J19" s="96"/>
      <c r="K19" s="96"/>
      <c r="L19" s="96"/>
      <c r="M19" s="96"/>
      <c r="N19" s="96"/>
      <c r="O19" s="96"/>
      <c r="P19" s="96"/>
      <c r="Q19" s="96"/>
      <c r="R19" s="96"/>
      <c r="S19" s="96"/>
    </row>
  </sheetData>
  <mergeCells count="7">
    <mergeCell ref="J16:R17"/>
    <mergeCell ref="J19:S19"/>
    <mergeCell ref="J5:R7"/>
    <mergeCell ref="J2:O2"/>
    <mergeCell ref="J3:Q3"/>
    <mergeCell ref="J8:R10"/>
    <mergeCell ref="J12:R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50D83-ED64-4EB0-84BC-763AD5BE2539}">
  <dimension ref="B1:W1001"/>
  <sheetViews>
    <sheetView workbookViewId="0">
      <selection activeCell="A15" sqref="A15"/>
    </sheetView>
  </sheetViews>
  <sheetFormatPr defaultRowHeight="14.25" x14ac:dyDescent="0.45"/>
  <cols>
    <col min="3" max="3" width="22.6640625" bestFit="1" customWidth="1"/>
    <col min="6" max="6" width="14.53125" bestFit="1" customWidth="1"/>
    <col min="7" max="7" width="9.53125" bestFit="1" customWidth="1"/>
    <col min="8" max="8" width="20" bestFit="1" customWidth="1"/>
    <col min="9" max="9" width="21.46484375" bestFit="1" customWidth="1"/>
    <col min="11" max="11" width="22.46484375" hidden="1" customWidth="1"/>
    <col min="12" max="12" width="17.53125" bestFit="1" customWidth="1"/>
    <col min="13" max="13" width="14.1328125" bestFit="1" customWidth="1"/>
    <col min="16" max="16" width="10.53125" bestFit="1" customWidth="1"/>
    <col min="18" max="18" width="14.796875" bestFit="1" customWidth="1"/>
    <col min="19" max="19" width="14.33203125" customWidth="1"/>
  </cols>
  <sheetData>
    <row r="1" spans="2:23" ht="15.75" x14ac:dyDescent="0.5">
      <c r="B1" s="1"/>
      <c r="C1" s="2" t="s">
        <v>0</v>
      </c>
      <c r="D1" s="2">
        <v>30</v>
      </c>
      <c r="E1" s="2"/>
      <c r="F1" s="2"/>
      <c r="G1" s="2"/>
      <c r="H1" s="2"/>
      <c r="I1" s="2"/>
      <c r="J1" s="2"/>
      <c r="K1" s="2"/>
      <c r="L1" s="2"/>
      <c r="M1" s="2"/>
      <c r="O1" t="s">
        <v>27</v>
      </c>
      <c r="P1" t="s">
        <v>30</v>
      </c>
    </row>
    <row r="2" spans="2:23" ht="15.75" x14ac:dyDescent="0.5">
      <c r="B2" s="1"/>
      <c r="C2" s="2" t="s">
        <v>1</v>
      </c>
      <c r="D2" s="2">
        <v>65</v>
      </c>
      <c r="E2" s="2"/>
      <c r="F2" s="2"/>
      <c r="G2" s="2"/>
      <c r="H2" s="2"/>
      <c r="I2" s="2"/>
      <c r="J2" s="2"/>
      <c r="K2" s="2"/>
      <c r="L2" s="23" t="s">
        <v>46</v>
      </c>
      <c r="M2" s="39">
        <f ca="1">M52</f>
        <v>568896.81584758672</v>
      </c>
      <c r="O2">
        <v>1</v>
      </c>
      <c r="P2" s="10">
        <f ca="1">M2</f>
        <v>568896.81584758672</v>
      </c>
    </row>
    <row r="3" spans="2:23" ht="15.75" x14ac:dyDescent="0.5">
      <c r="B3" s="1"/>
      <c r="C3" s="2" t="s">
        <v>2</v>
      </c>
      <c r="D3" s="2">
        <v>70000</v>
      </c>
      <c r="E3" s="2"/>
      <c r="F3" s="2"/>
      <c r="G3" s="2"/>
      <c r="H3" s="2"/>
      <c r="I3" s="2"/>
      <c r="J3" s="2"/>
      <c r="K3" s="2"/>
      <c r="L3" s="37" t="s">
        <v>45</v>
      </c>
      <c r="M3" s="38">
        <f>'Retirement Capital'!E27</f>
        <v>1454757</v>
      </c>
      <c r="O3">
        <v>2</v>
      </c>
      <c r="P3" s="10">
        <f t="dataTable" ref="P3:P1001" dt2D="0" dtr="0" r1="S2" ca="1"/>
        <v>575124.29926224903</v>
      </c>
    </row>
    <row r="4" spans="2:23" ht="15.75" x14ac:dyDescent="0.5">
      <c r="B4" s="1"/>
      <c r="C4" s="2" t="s">
        <v>59</v>
      </c>
      <c r="D4" s="3">
        <v>3.5000000000000003E-2</v>
      </c>
      <c r="E4" s="2"/>
      <c r="F4" s="2"/>
      <c r="G4" s="2" t="s">
        <v>25</v>
      </c>
      <c r="H4" s="2">
        <v>0.7</v>
      </c>
      <c r="I4" s="2"/>
      <c r="J4" s="2"/>
      <c r="K4" s="2"/>
      <c r="L4" s="2" t="s">
        <v>60</v>
      </c>
      <c r="M4" s="40">
        <f ca="1">M9-M3</f>
        <v>-895037.18925682048</v>
      </c>
      <c r="O4">
        <v>3</v>
      </c>
      <c r="P4" s="10">
        <v>544306.18292473629</v>
      </c>
      <c r="S4" s="18" t="s">
        <v>69</v>
      </c>
      <c r="T4" s="18" t="s">
        <v>9</v>
      </c>
      <c r="U4" s="18" t="s">
        <v>10</v>
      </c>
      <c r="V4" s="18" t="s">
        <v>8</v>
      </c>
    </row>
    <row r="5" spans="2:23" ht="15.75" x14ac:dyDescent="0.5">
      <c r="B5" s="1"/>
      <c r="C5" s="2" t="s">
        <v>4</v>
      </c>
      <c r="D5" s="4">
        <v>0.03</v>
      </c>
      <c r="E5" s="2"/>
      <c r="F5" s="2"/>
      <c r="G5" s="2"/>
      <c r="H5" s="2"/>
      <c r="I5" s="2"/>
      <c r="J5" s="2"/>
      <c r="K5" s="2"/>
      <c r="L5" s="2"/>
      <c r="M5" s="2"/>
      <c r="O5">
        <v>4</v>
      </c>
      <c r="P5" s="10">
        <v>568966.88891202374</v>
      </c>
      <c r="S5" s="19" t="s">
        <v>11</v>
      </c>
      <c r="T5" s="21">
        <v>3.7499999999999999E-2</v>
      </c>
      <c r="U5" s="21">
        <v>0.05</v>
      </c>
      <c r="V5" s="8">
        <v>0.4</v>
      </c>
    </row>
    <row r="6" spans="2:23" ht="15.75" x14ac:dyDescent="0.5">
      <c r="B6" s="1"/>
      <c r="C6" s="2" t="s">
        <v>5</v>
      </c>
      <c r="D6" s="4">
        <v>0.03</v>
      </c>
      <c r="E6" s="2"/>
      <c r="F6" s="2"/>
      <c r="G6" s="2"/>
      <c r="H6" s="2"/>
      <c r="I6" s="2"/>
      <c r="J6" s="2"/>
      <c r="K6" s="2"/>
      <c r="L6" s="2"/>
      <c r="M6" s="2"/>
      <c r="O6">
        <v>5</v>
      </c>
      <c r="P6" s="10">
        <v>585215.94414942665</v>
      </c>
      <c r="S6" s="19" t="s">
        <v>13</v>
      </c>
      <c r="T6" s="21">
        <v>6.5000000000000002E-2</v>
      </c>
      <c r="U6" s="21">
        <v>0.105</v>
      </c>
      <c r="V6" s="8">
        <v>0.3</v>
      </c>
    </row>
    <row r="7" spans="2:23" ht="15.75" x14ac:dyDescent="0.5">
      <c r="B7" s="1"/>
      <c r="C7" s="2" t="s">
        <v>7</v>
      </c>
      <c r="D7" s="2">
        <f>D2-D1</f>
        <v>35</v>
      </c>
      <c r="E7" s="2"/>
      <c r="F7" s="2"/>
      <c r="G7" s="2"/>
      <c r="H7" s="2"/>
      <c r="I7" s="2"/>
      <c r="J7" s="2"/>
      <c r="K7" s="2"/>
      <c r="L7" s="2"/>
      <c r="M7" s="2"/>
      <c r="O7">
        <v>6</v>
      </c>
      <c r="P7" s="10">
        <v>559904.73619603284</v>
      </c>
      <c r="S7" s="19" t="s">
        <v>15</v>
      </c>
      <c r="T7" s="21">
        <v>0.10249999999999999</v>
      </c>
      <c r="U7" s="21">
        <v>0.20749999999999999</v>
      </c>
      <c r="V7" s="8">
        <v>0.3</v>
      </c>
    </row>
    <row r="8" spans="2:23" ht="15.75" x14ac:dyDescent="0.5">
      <c r="B8" s="1"/>
      <c r="E8" s="2"/>
      <c r="F8" s="2"/>
      <c r="G8" s="2"/>
      <c r="H8" s="2"/>
      <c r="I8" s="2"/>
      <c r="J8" s="2"/>
      <c r="K8" s="2"/>
      <c r="L8" s="2"/>
      <c r="M8" s="2"/>
      <c r="O8">
        <v>7</v>
      </c>
      <c r="P8" s="10">
        <v>585684.71288597723</v>
      </c>
      <c r="V8" s="16">
        <f>SUM(V5:V7)</f>
        <v>1</v>
      </c>
    </row>
    <row r="9" spans="2:23" ht="15.75" x14ac:dyDescent="0.5">
      <c r="B9" s="1"/>
      <c r="C9" s="2"/>
      <c r="D9" s="2"/>
      <c r="E9" s="2"/>
      <c r="F9" s="2"/>
      <c r="G9" s="2"/>
      <c r="H9" s="2"/>
      <c r="I9" s="2"/>
      <c r="J9" s="2"/>
      <c r="K9" s="2"/>
      <c r="L9" s="24" t="s">
        <v>47</v>
      </c>
      <c r="M9" s="25">
        <f ca="1">AVERAGE(P2:P1001)</f>
        <v>559719.81074317952</v>
      </c>
      <c r="O9">
        <v>8</v>
      </c>
      <c r="P9" s="10">
        <v>566670.75879532727</v>
      </c>
      <c r="V9" s="13">
        <f>(V5*T5)+(V6*T6)+(V7*T7)</f>
        <v>6.5250000000000002E-2</v>
      </c>
      <c r="W9" t="s">
        <v>28</v>
      </c>
    </row>
    <row r="10" spans="2:23" ht="15.75" x14ac:dyDescent="0.5">
      <c r="B10" s="1"/>
      <c r="C10" s="17"/>
      <c r="D10" s="18" t="s">
        <v>8</v>
      </c>
      <c r="E10" s="18" t="s">
        <v>9</v>
      </c>
      <c r="F10" s="18"/>
      <c r="G10" s="18" t="s">
        <v>10</v>
      </c>
      <c r="H10" s="2"/>
      <c r="I10" s="2"/>
      <c r="J10" s="2"/>
      <c r="K10" s="2"/>
      <c r="L10" s="2"/>
      <c r="M10" s="2"/>
      <c r="O10">
        <v>9</v>
      </c>
      <c r="P10" s="10">
        <v>546547.19628487644</v>
      </c>
    </row>
    <row r="11" spans="2:23" ht="15.75" x14ac:dyDescent="0.5">
      <c r="B11" s="1"/>
      <c r="C11" s="19" t="s">
        <v>11</v>
      </c>
      <c r="D11" s="20">
        <v>0.4</v>
      </c>
      <c r="E11" s="21">
        <v>3.7499999999999999E-2</v>
      </c>
      <c r="F11" s="21"/>
      <c r="G11" s="21">
        <v>0.05</v>
      </c>
      <c r="H11" s="2"/>
      <c r="I11" s="2" t="s">
        <v>12</v>
      </c>
      <c r="J11" s="3">
        <f>(D11*E11)+(D12*E12)+(D13*E13)</f>
        <v>6.5250000000000002E-2</v>
      </c>
      <c r="L11" s="2"/>
      <c r="M11" s="2"/>
      <c r="O11">
        <v>10</v>
      </c>
      <c r="P11" s="10">
        <v>543445.7268109771</v>
      </c>
      <c r="V11" s="9">
        <f>SQRT((V5*5%)^2+(V6*10.5%)^2+(V7*20.75%)^2)</f>
        <v>7.2576253003306807E-2</v>
      </c>
      <c r="W11" t="s">
        <v>10</v>
      </c>
    </row>
    <row r="12" spans="2:23" ht="15.75" x14ac:dyDescent="0.5">
      <c r="B12" s="1"/>
      <c r="C12" s="19" t="s">
        <v>13</v>
      </c>
      <c r="D12" s="20">
        <v>0.3</v>
      </c>
      <c r="E12" s="21">
        <v>6.5000000000000002E-2</v>
      </c>
      <c r="F12" s="21"/>
      <c r="G12" s="21">
        <v>0.105</v>
      </c>
      <c r="H12" s="2"/>
      <c r="I12" s="2" t="s">
        <v>14</v>
      </c>
      <c r="J12" s="22">
        <v>7.2999999999999995E-2</v>
      </c>
      <c r="K12" s="2"/>
      <c r="L12" s="2"/>
      <c r="M12" s="2"/>
      <c r="O12">
        <v>11</v>
      </c>
      <c r="P12" s="10">
        <v>561767.23271315626</v>
      </c>
    </row>
    <row r="13" spans="2:23" ht="15.75" x14ac:dyDescent="0.5">
      <c r="B13" s="1"/>
      <c r="C13" s="19" t="s">
        <v>15</v>
      </c>
      <c r="D13" s="20">
        <v>0.3</v>
      </c>
      <c r="E13" s="21">
        <v>0.10249999999999999</v>
      </c>
      <c r="F13" s="21"/>
      <c r="G13" s="21">
        <v>0.20749999999999999</v>
      </c>
      <c r="H13" s="2"/>
      <c r="I13" s="2"/>
      <c r="J13" s="2"/>
      <c r="K13" s="2"/>
      <c r="L13" s="2"/>
      <c r="M13" s="2"/>
      <c r="O13">
        <v>12</v>
      </c>
      <c r="P13" s="10">
        <v>557640.89778464672</v>
      </c>
    </row>
    <row r="14" spans="2:23" ht="15.75" x14ac:dyDescent="0.5">
      <c r="B14" s="1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O14">
        <v>13</v>
      </c>
      <c r="P14" s="10">
        <v>563893.19951394119</v>
      </c>
    </row>
    <row r="15" spans="2:23" ht="15.75" x14ac:dyDescent="0.5">
      <c r="B15" s="1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O15">
        <v>14</v>
      </c>
      <c r="P15" s="10">
        <v>575368.8409489498</v>
      </c>
    </row>
    <row r="16" spans="2:23" ht="15.75" x14ac:dyDescent="0.5">
      <c r="B16" s="1"/>
      <c r="C16" s="2"/>
      <c r="D16" s="6" t="s">
        <v>16</v>
      </c>
      <c r="E16" s="5" t="s">
        <v>17</v>
      </c>
      <c r="F16" s="5" t="s">
        <v>26</v>
      </c>
      <c r="G16" s="5" t="s">
        <v>18</v>
      </c>
      <c r="H16" s="5" t="s">
        <v>19</v>
      </c>
      <c r="I16" s="5" t="s">
        <v>20</v>
      </c>
      <c r="J16" s="5" t="s">
        <v>21</v>
      </c>
      <c r="K16" s="5" t="s">
        <v>22</v>
      </c>
      <c r="L16" s="5" t="s">
        <v>23</v>
      </c>
      <c r="M16" s="5" t="s">
        <v>24</v>
      </c>
      <c r="O16">
        <v>15</v>
      </c>
      <c r="P16" s="10">
        <v>559925.37610828818</v>
      </c>
    </row>
    <row r="17" spans="2:16" ht="15.75" x14ac:dyDescent="0.5">
      <c r="B17" s="1"/>
      <c r="C17" s="2"/>
      <c r="D17" s="2">
        <v>1</v>
      </c>
      <c r="E17" s="2">
        <v>30</v>
      </c>
      <c r="F17" s="11">
        <f ca="1">_xlfn.NORM.INV(RAND(),0.035,0.007)</f>
        <v>3.1151386398114964E-2</v>
      </c>
      <c r="G17" s="12">
        <v>70000</v>
      </c>
      <c r="H17" s="12">
        <f>G17*3%</f>
        <v>2100</v>
      </c>
      <c r="I17" s="12">
        <f>H17</f>
        <v>2100</v>
      </c>
      <c r="J17" s="12">
        <f>H17+I17</f>
        <v>4200</v>
      </c>
      <c r="K17" s="7">
        <v>65800</v>
      </c>
      <c r="L17" s="2">
        <v>0</v>
      </c>
      <c r="M17" s="12">
        <f>J17+L17</f>
        <v>4200</v>
      </c>
      <c r="O17">
        <v>16</v>
      </c>
      <c r="P17" s="10">
        <v>572524.50996110064</v>
      </c>
    </row>
    <row r="18" spans="2:16" ht="15.75" x14ac:dyDescent="0.5">
      <c r="B18" s="1"/>
      <c r="C18" s="2"/>
      <c r="D18" s="2">
        <v>2</v>
      </c>
      <c r="E18" s="2">
        <f>E17+1</f>
        <v>31</v>
      </c>
      <c r="F18" s="11">
        <f t="shared" ref="F18:F52" ca="1" si="0">_xlfn.NORM.INV(RAND(),0.035,0.007)</f>
        <v>4.3937772770353128E-2</v>
      </c>
      <c r="G18" s="12">
        <f ca="1">G17*(1+F18)</f>
        <v>73075.644093924726</v>
      </c>
      <c r="H18" s="12">
        <f t="shared" ref="H18:H52" ca="1" si="1">G18*3%</f>
        <v>2192.2693228177418</v>
      </c>
      <c r="I18" s="12">
        <f t="shared" ref="I18:I52" ca="1" si="2">H18</f>
        <v>2192.2693228177418</v>
      </c>
      <c r="J18" s="12">
        <f t="shared" ref="J18:J52" ca="1" si="3">H18+I18</f>
        <v>4384.5386456354836</v>
      </c>
      <c r="K18" s="7">
        <v>68103</v>
      </c>
      <c r="L18" s="12">
        <f>(J17*$J$11)+L17</f>
        <v>274.05</v>
      </c>
      <c r="M18" s="12">
        <f ca="1">J18+L18+M17</f>
        <v>8858.5886456354838</v>
      </c>
      <c r="O18">
        <v>17</v>
      </c>
      <c r="P18" s="10">
        <v>558863.58068172331</v>
      </c>
    </row>
    <row r="19" spans="2:16" ht="15.75" x14ac:dyDescent="0.5">
      <c r="B19" s="1"/>
      <c r="C19" s="2"/>
      <c r="D19" s="2">
        <v>3</v>
      </c>
      <c r="E19" s="2">
        <f t="shared" ref="E19:E52" si="4">E18+1</f>
        <v>32</v>
      </c>
      <c r="F19" s="11">
        <f t="shared" ca="1" si="0"/>
        <v>4.3196302372043034E-2</v>
      </c>
      <c r="G19" s="12">
        <f t="shared" ref="G19:G52" ca="1" si="5">G18*(1+F19)</f>
        <v>76232.241712237694</v>
      </c>
      <c r="H19" s="12">
        <f t="shared" ca="1" si="1"/>
        <v>2286.9672513671308</v>
      </c>
      <c r="I19" s="12">
        <f t="shared" ca="1" si="2"/>
        <v>2286.9672513671308</v>
      </c>
      <c r="J19" s="12">
        <f t="shared" ca="1" si="3"/>
        <v>4573.9345027342615</v>
      </c>
      <c r="K19" s="7">
        <v>70487</v>
      </c>
      <c r="L19" s="12">
        <f t="shared" ref="L19:L52" ca="1" si="6">(J18*$J$11)+L18</f>
        <v>560.14114662771533</v>
      </c>
      <c r="M19" s="12">
        <f t="shared" ref="M19:M51" ca="1" si="7">J19+L19+M18</f>
        <v>13992.664294997459</v>
      </c>
      <c r="O19">
        <v>18</v>
      </c>
      <c r="P19" s="10">
        <v>591685.89409599127</v>
      </c>
    </row>
    <row r="20" spans="2:16" ht="15.75" x14ac:dyDescent="0.5">
      <c r="B20" s="1"/>
      <c r="C20" s="2"/>
      <c r="D20" s="2">
        <v>4</v>
      </c>
      <c r="E20" s="2">
        <f t="shared" si="4"/>
        <v>33</v>
      </c>
      <c r="F20" s="11">
        <f t="shared" ca="1" si="0"/>
        <v>3.0286815905138736E-2</v>
      </c>
      <c r="G20" s="12">
        <f t="shared" ca="1" si="5"/>
        <v>78541.073583012287</v>
      </c>
      <c r="H20" s="12">
        <f t="shared" ca="1" si="1"/>
        <v>2356.2322074903686</v>
      </c>
      <c r="I20" s="12">
        <f t="shared" ca="1" si="2"/>
        <v>2356.2322074903686</v>
      </c>
      <c r="J20" s="12">
        <f t="shared" ca="1" si="3"/>
        <v>4712.4644149807373</v>
      </c>
      <c r="K20" s="7">
        <v>72954</v>
      </c>
      <c r="L20" s="12">
        <f t="shared" ca="1" si="6"/>
        <v>858.5903729311259</v>
      </c>
      <c r="M20" s="12">
        <f t="shared" ca="1" si="7"/>
        <v>19563.719082909323</v>
      </c>
      <c r="O20">
        <v>19</v>
      </c>
      <c r="P20" s="10">
        <v>592416.95767512405</v>
      </c>
    </row>
    <row r="21" spans="2:16" ht="15.75" x14ac:dyDescent="0.5">
      <c r="B21" s="1"/>
      <c r="C21" s="2"/>
      <c r="D21" s="2">
        <v>5</v>
      </c>
      <c r="E21" s="2">
        <f t="shared" si="4"/>
        <v>34</v>
      </c>
      <c r="F21" s="11">
        <f t="shared" ca="1" si="0"/>
        <v>3.6096428443814749E-2</v>
      </c>
      <c r="G21" s="12">
        <f t="shared" ca="1" si="5"/>
        <v>81376.125825501877</v>
      </c>
      <c r="H21" s="12">
        <f t="shared" ca="1" si="1"/>
        <v>2441.283774765056</v>
      </c>
      <c r="I21" s="12">
        <f t="shared" ca="1" si="2"/>
        <v>2441.283774765056</v>
      </c>
      <c r="J21" s="12">
        <f t="shared" ca="1" si="3"/>
        <v>4882.567549530112</v>
      </c>
      <c r="K21" s="7">
        <v>75507</v>
      </c>
      <c r="L21" s="12">
        <f t="shared" ca="1" si="6"/>
        <v>1166.0786760086189</v>
      </c>
      <c r="M21" s="12">
        <f t="shared" ca="1" si="7"/>
        <v>25612.365308448054</v>
      </c>
      <c r="O21">
        <v>20</v>
      </c>
      <c r="P21" s="10">
        <v>549975.63434092596</v>
      </c>
    </row>
    <row r="22" spans="2:16" ht="15.75" x14ac:dyDescent="0.5">
      <c r="B22" s="1"/>
      <c r="C22" s="2"/>
      <c r="D22" s="2">
        <v>6</v>
      </c>
      <c r="E22" s="2">
        <f t="shared" si="4"/>
        <v>35</v>
      </c>
      <c r="F22" s="11">
        <f t="shared" ca="1" si="0"/>
        <v>5.3624515163614703E-2</v>
      </c>
      <c r="G22" s="12">
        <f t="shared" ca="1" si="5"/>
        <v>85739.881118787729</v>
      </c>
      <c r="H22" s="12">
        <f t="shared" ca="1" si="1"/>
        <v>2572.1964335636317</v>
      </c>
      <c r="I22" s="12">
        <f t="shared" ca="1" si="2"/>
        <v>2572.1964335636317</v>
      </c>
      <c r="J22" s="12">
        <f t="shared" ca="1" si="3"/>
        <v>5144.3928671272633</v>
      </c>
      <c r="K22" s="7">
        <v>78150</v>
      </c>
      <c r="L22" s="12">
        <f t="shared" ca="1" si="6"/>
        <v>1484.6662086154588</v>
      </c>
      <c r="M22" s="12">
        <f t="shared" ca="1" si="7"/>
        <v>32241.424384190774</v>
      </c>
      <c r="O22">
        <v>21</v>
      </c>
      <c r="P22" s="10">
        <v>554579.63486860227</v>
      </c>
    </row>
    <row r="23" spans="2:16" ht="15.75" x14ac:dyDescent="0.5">
      <c r="B23" s="1"/>
      <c r="C23" s="2"/>
      <c r="D23" s="2">
        <v>7</v>
      </c>
      <c r="E23" s="2">
        <f t="shared" si="4"/>
        <v>36</v>
      </c>
      <c r="F23" s="11">
        <f t="shared" ca="1" si="0"/>
        <v>2.7713272336849719E-2</v>
      </c>
      <c r="G23" s="12">
        <f t="shared" ca="1" si="5"/>
        <v>88116.013794361803</v>
      </c>
      <c r="H23" s="12">
        <f t="shared" ca="1" si="1"/>
        <v>2643.4804138308541</v>
      </c>
      <c r="I23" s="12">
        <f t="shared" ca="1" si="2"/>
        <v>2643.4804138308541</v>
      </c>
      <c r="J23" s="12">
        <f t="shared" ca="1" si="3"/>
        <v>5286.9608276617082</v>
      </c>
      <c r="K23" s="7">
        <v>80885</v>
      </c>
      <c r="L23" s="12">
        <f t="shared" ca="1" si="6"/>
        <v>1820.3378431955127</v>
      </c>
      <c r="M23" s="12">
        <f t="shared" ca="1" si="7"/>
        <v>39348.723055047994</v>
      </c>
      <c r="O23">
        <v>22</v>
      </c>
      <c r="P23" s="10">
        <v>537327.90094246704</v>
      </c>
    </row>
    <row r="24" spans="2:16" ht="15.75" x14ac:dyDescent="0.5">
      <c r="B24" s="1"/>
      <c r="C24" s="2"/>
      <c r="D24" s="2">
        <v>8</v>
      </c>
      <c r="E24" s="2">
        <f t="shared" si="4"/>
        <v>37</v>
      </c>
      <c r="F24" s="11">
        <f t="shared" ca="1" si="0"/>
        <v>3.447584129836375E-2</v>
      </c>
      <c r="G24" s="12">
        <f t="shared" ca="1" si="5"/>
        <v>91153.887501780642</v>
      </c>
      <c r="H24" s="12">
        <f t="shared" ca="1" si="1"/>
        <v>2734.6166250534193</v>
      </c>
      <c r="I24" s="12">
        <f t="shared" ca="1" si="2"/>
        <v>2734.6166250534193</v>
      </c>
      <c r="J24" s="12">
        <f t="shared" ca="1" si="3"/>
        <v>5469.2332501068386</v>
      </c>
      <c r="K24" s="7">
        <v>83716</v>
      </c>
      <c r="L24" s="12">
        <f t="shared" ca="1" si="6"/>
        <v>2165.3120372004391</v>
      </c>
      <c r="M24" s="12">
        <f t="shared" ca="1" si="7"/>
        <v>46983.268342355273</v>
      </c>
      <c r="O24">
        <v>23</v>
      </c>
      <c r="P24" s="10">
        <v>560426.68793391704</v>
      </c>
    </row>
    <row r="25" spans="2:16" ht="15.75" x14ac:dyDescent="0.5">
      <c r="B25" s="1"/>
      <c r="C25" s="2"/>
      <c r="D25" s="2">
        <v>9</v>
      </c>
      <c r="E25" s="2">
        <f t="shared" si="4"/>
        <v>38</v>
      </c>
      <c r="F25" s="11">
        <f t="shared" ca="1" si="0"/>
        <v>2.34634955043087E-2</v>
      </c>
      <c r="G25" s="12">
        <f t="shared" ca="1" si="5"/>
        <v>93292.676331378927</v>
      </c>
      <c r="H25" s="12">
        <f t="shared" ca="1" si="1"/>
        <v>2798.7802899413678</v>
      </c>
      <c r="I25" s="12">
        <f t="shared" ca="1" si="2"/>
        <v>2798.7802899413678</v>
      </c>
      <c r="J25" s="12">
        <f t="shared" ca="1" si="3"/>
        <v>5597.5605798827355</v>
      </c>
      <c r="K25" s="7">
        <v>86646</v>
      </c>
      <c r="L25" s="12">
        <f t="shared" ca="1" si="6"/>
        <v>2522.1795067699104</v>
      </c>
      <c r="M25" s="12">
        <f t="shared" ca="1" si="7"/>
        <v>55103.008429007918</v>
      </c>
      <c r="O25">
        <v>24</v>
      </c>
      <c r="P25" s="10">
        <v>541892.9806052855</v>
      </c>
    </row>
    <row r="26" spans="2:16" ht="15.75" x14ac:dyDescent="0.5">
      <c r="B26" s="1"/>
      <c r="C26" s="2"/>
      <c r="D26" s="2">
        <v>10</v>
      </c>
      <c r="E26" s="2">
        <f t="shared" si="4"/>
        <v>39</v>
      </c>
      <c r="F26" s="11">
        <f t="shared" ca="1" si="0"/>
        <v>2.8761899432464561E-2</v>
      </c>
      <c r="G26" s="12">
        <f t="shared" ca="1" si="5"/>
        <v>95975.95090580752</v>
      </c>
      <c r="H26" s="12">
        <f t="shared" ca="1" si="1"/>
        <v>2879.2785271742255</v>
      </c>
      <c r="I26" s="12">
        <f t="shared" ca="1" si="2"/>
        <v>2879.2785271742255</v>
      </c>
      <c r="J26" s="12">
        <f t="shared" ca="1" si="3"/>
        <v>5758.5570543484509</v>
      </c>
      <c r="K26" s="7">
        <v>89679</v>
      </c>
      <c r="L26" s="12">
        <f t="shared" ca="1" si="6"/>
        <v>2887.4203346072591</v>
      </c>
      <c r="M26" s="12">
        <f t="shared" ca="1" si="7"/>
        <v>63748.985817963629</v>
      </c>
      <c r="O26">
        <v>25</v>
      </c>
      <c r="P26" s="10">
        <v>581768.00742112775</v>
      </c>
    </row>
    <row r="27" spans="2:16" ht="15.75" x14ac:dyDescent="0.5">
      <c r="B27" s="1"/>
      <c r="C27" s="2"/>
      <c r="D27" s="2">
        <v>11</v>
      </c>
      <c r="E27" s="2">
        <f t="shared" si="4"/>
        <v>40</v>
      </c>
      <c r="F27" s="11">
        <f t="shared" ca="1" si="0"/>
        <v>2.9643830427296167E-2</v>
      </c>
      <c r="G27" s="12">
        <f t="shared" ca="1" si="5"/>
        <v>98821.045719557776</v>
      </c>
      <c r="H27" s="12">
        <f t="shared" ca="1" si="1"/>
        <v>2964.6313715867332</v>
      </c>
      <c r="I27" s="12">
        <f t="shared" ca="1" si="2"/>
        <v>2964.6313715867332</v>
      </c>
      <c r="J27" s="12">
        <f t="shared" ca="1" si="3"/>
        <v>5929.2627431734663</v>
      </c>
      <c r="K27" s="7">
        <v>92817</v>
      </c>
      <c r="L27" s="12">
        <f t="shared" ca="1" si="6"/>
        <v>3263.1661824034954</v>
      </c>
      <c r="M27" s="12">
        <f t="shared" ca="1" si="7"/>
        <v>72941.41474354059</v>
      </c>
      <c r="O27">
        <v>26</v>
      </c>
      <c r="P27" s="10">
        <v>556140.70480921259</v>
      </c>
    </row>
    <row r="28" spans="2:16" ht="15.75" x14ac:dyDescent="0.5">
      <c r="B28" s="1"/>
      <c r="C28" s="2"/>
      <c r="D28" s="2">
        <v>12</v>
      </c>
      <c r="E28" s="2">
        <f t="shared" si="4"/>
        <v>41</v>
      </c>
      <c r="F28" s="11">
        <f t="shared" ca="1" si="0"/>
        <v>3.7711075434085126E-2</v>
      </c>
      <c r="G28" s="12">
        <f t="shared" ca="1" si="5"/>
        <v>102547.69362916319</v>
      </c>
      <c r="H28" s="12">
        <f t="shared" ca="1" si="1"/>
        <v>3076.4308088748953</v>
      </c>
      <c r="I28" s="12">
        <f t="shared" ca="1" si="2"/>
        <v>3076.4308088748953</v>
      </c>
      <c r="J28" s="12">
        <f t="shared" ca="1" si="3"/>
        <v>6152.8616177497906</v>
      </c>
      <c r="K28" s="7">
        <v>96066</v>
      </c>
      <c r="L28" s="12">
        <f t="shared" ca="1" si="6"/>
        <v>3650.0505763955643</v>
      </c>
      <c r="M28" s="12">
        <f t="shared" ca="1" si="7"/>
        <v>82744.326937685953</v>
      </c>
      <c r="O28">
        <v>27</v>
      </c>
      <c r="P28" s="10">
        <v>584825.58378607209</v>
      </c>
    </row>
    <row r="29" spans="2:16" ht="15.75" x14ac:dyDescent="0.5">
      <c r="B29" s="1"/>
      <c r="C29" s="2"/>
      <c r="D29" s="2">
        <v>13</v>
      </c>
      <c r="E29" s="2">
        <f t="shared" si="4"/>
        <v>42</v>
      </c>
      <c r="F29" s="11">
        <f t="shared" ca="1" si="0"/>
        <v>3.3829493536940883E-2</v>
      </c>
      <c r="G29" s="12">
        <f t="shared" ca="1" si="5"/>
        <v>106016.83016801917</v>
      </c>
      <c r="H29" s="12">
        <f t="shared" ca="1" si="1"/>
        <v>3180.5049050405751</v>
      </c>
      <c r="I29" s="12">
        <f t="shared" ca="1" si="2"/>
        <v>3180.5049050405751</v>
      </c>
      <c r="J29" s="12">
        <f t="shared" ca="1" si="3"/>
        <v>6361.0098100811501</v>
      </c>
      <c r="K29" s="7">
        <v>99428</v>
      </c>
      <c r="L29" s="12">
        <f t="shared" ca="1" si="6"/>
        <v>4051.5247969537381</v>
      </c>
      <c r="M29" s="12">
        <f t="shared" ca="1" si="7"/>
        <v>93156.861544720843</v>
      </c>
      <c r="O29">
        <v>28</v>
      </c>
      <c r="P29" s="10">
        <v>538329.50473091507</v>
      </c>
    </row>
    <row r="30" spans="2:16" ht="15.75" x14ac:dyDescent="0.5">
      <c r="B30" s="1"/>
      <c r="C30" s="2"/>
      <c r="D30" s="2">
        <v>14</v>
      </c>
      <c r="E30" s="2">
        <f t="shared" si="4"/>
        <v>43</v>
      </c>
      <c r="F30" s="11">
        <f t="shared" ca="1" si="0"/>
        <v>3.2728386361127425E-2</v>
      </c>
      <c r="G30" s="12">
        <f t="shared" ca="1" si="5"/>
        <v>109486.58994654013</v>
      </c>
      <c r="H30" s="12">
        <f t="shared" ca="1" si="1"/>
        <v>3284.5976983962037</v>
      </c>
      <c r="I30" s="12">
        <f t="shared" ca="1" si="2"/>
        <v>3284.5976983962037</v>
      </c>
      <c r="J30" s="12">
        <f t="shared" ca="1" si="3"/>
        <v>6569.1953967924073</v>
      </c>
      <c r="K30" s="7">
        <v>102908</v>
      </c>
      <c r="L30" s="12">
        <f t="shared" ca="1" si="6"/>
        <v>4466.5806870615334</v>
      </c>
      <c r="M30" s="12">
        <f t="shared" ca="1" si="7"/>
        <v>104192.63762857478</v>
      </c>
      <c r="O30">
        <v>29</v>
      </c>
      <c r="P30" s="10">
        <v>563402.58904354472</v>
      </c>
    </row>
    <row r="31" spans="2:16" ht="15.75" x14ac:dyDescent="0.5">
      <c r="B31" s="1"/>
      <c r="C31" s="2"/>
      <c r="D31" s="2">
        <v>15</v>
      </c>
      <c r="E31" s="2">
        <f t="shared" si="4"/>
        <v>44</v>
      </c>
      <c r="F31" s="11">
        <f t="shared" ca="1" si="0"/>
        <v>4.5361676237911153E-2</v>
      </c>
      <c r="G31" s="12">
        <f t="shared" ca="1" si="5"/>
        <v>114453.08519208802</v>
      </c>
      <c r="H31" s="12">
        <f t="shared" ca="1" si="1"/>
        <v>3433.5925557626406</v>
      </c>
      <c r="I31" s="12">
        <f t="shared" ca="1" si="2"/>
        <v>3433.5925557626406</v>
      </c>
      <c r="J31" s="12">
        <f t="shared" ca="1" si="3"/>
        <v>6867.1851115252812</v>
      </c>
      <c r="K31" s="7">
        <v>106510</v>
      </c>
      <c r="L31" s="12">
        <f t="shared" ca="1" si="6"/>
        <v>4895.2206867022378</v>
      </c>
      <c r="M31" s="12">
        <f t="shared" ca="1" si="7"/>
        <v>115955.04342680229</v>
      </c>
      <c r="O31">
        <v>30</v>
      </c>
      <c r="P31" s="10">
        <v>553084.13715696905</v>
      </c>
    </row>
    <row r="32" spans="2:16" ht="15.75" x14ac:dyDescent="0.5">
      <c r="B32" s="1"/>
      <c r="C32" s="2"/>
      <c r="D32" s="2">
        <v>16</v>
      </c>
      <c r="E32" s="2">
        <f t="shared" si="4"/>
        <v>45</v>
      </c>
      <c r="F32" s="11">
        <f t="shared" ca="1" si="0"/>
        <v>4.4252790343097877E-2</v>
      </c>
      <c r="G32" s="12">
        <f t="shared" ca="1" si="5"/>
        <v>119517.95357521421</v>
      </c>
      <c r="H32" s="12">
        <f t="shared" ca="1" si="1"/>
        <v>3585.5386072564261</v>
      </c>
      <c r="I32" s="12">
        <f t="shared" ca="1" si="2"/>
        <v>3585.5386072564261</v>
      </c>
      <c r="J32" s="12">
        <f t="shared" ca="1" si="3"/>
        <v>7171.0772145128522</v>
      </c>
      <c r="K32" s="7">
        <v>110238</v>
      </c>
      <c r="L32" s="12">
        <f t="shared" ca="1" si="6"/>
        <v>5343.3045152292625</v>
      </c>
      <c r="M32" s="12">
        <f t="shared" ca="1" si="7"/>
        <v>128469.42515654441</v>
      </c>
      <c r="O32">
        <v>31</v>
      </c>
      <c r="P32" s="10">
        <v>556436.6662459058</v>
      </c>
    </row>
    <row r="33" spans="2:16" ht="15.75" x14ac:dyDescent="0.5">
      <c r="B33" s="1"/>
      <c r="C33" s="2"/>
      <c r="D33" s="2">
        <v>17</v>
      </c>
      <c r="E33" s="2">
        <f t="shared" si="4"/>
        <v>46</v>
      </c>
      <c r="F33" s="11">
        <f t="shared" ca="1" si="0"/>
        <v>3.3361822562055977E-2</v>
      </c>
      <c r="G33" s="12">
        <f t="shared" ca="1" si="5"/>
        <v>123505.29033537055</v>
      </c>
      <c r="H33" s="12">
        <f t="shared" ca="1" si="1"/>
        <v>3705.1587100611164</v>
      </c>
      <c r="I33" s="12">
        <f t="shared" ca="1" si="2"/>
        <v>3705.1587100611164</v>
      </c>
      <c r="J33" s="12">
        <f t="shared" ca="1" si="3"/>
        <v>7410.3174201222328</v>
      </c>
      <c r="K33" s="7">
        <v>114096</v>
      </c>
      <c r="L33" s="12">
        <f t="shared" ca="1" si="6"/>
        <v>5811.2173034762263</v>
      </c>
      <c r="M33" s="12">
        <f t="shared" ca="1" si="7"/>
        <v>141690.95988014288</v>
      </c>
      <c r="O33">
        <v>32</v>
      </c>
      <c r="P33" s="10">
        <v>561087.76807344705</v>
      </c>
    </row>
    <row r="34" spans="2:16" ht="15.75" x14ac:dyDescent="0.5">
      <c r="B34" s="1"/>
      <c r="C34" s="2"/>
      <c r="D34" s="2">
        <v>18</v>
      </c>
      <c r="E34" s="2">
        <f t="shared" si="4"/>
        <v>47</v>
      </c>
      <c r="F34" s="11">
        <f t="shared" ca="1" si="0"/>
        <v>2.7452294939385419E-2</v>
      </c>
      <c r="G34" s="12">
        <f t="shared" ca="1" si="5"/>
        <v>126895.79399223157</v>
      </c>
      <c r="H34" s="12">
        <f t="shared" ca="1" si="1"/>
        <v>3806.8738197669468</v>
      </c>
      <c r="I34" s="12">
        <f t="shared" ca="1" si="2"/>
        <v>3806.8738197669468</v>
      </c>
      <c r="J34" s="12">
        <f t="shared" ca="1" si="3"/>
        <v>7613.7476395338936</v>
      </c>
      <c r="K34" s="7">
        <v>118090</v>
      </c>
      <c r="L34" s="12">
        <f t="shared" ca="1" si="6"/>
        <v>6294.7405151392022</v>
      </c>
      <c r="M34" s="12">
        <f t="shared" ca="1" si="7"/>
        <v>155599.44803481599</v>
      </c>
      <c r="O34">
        <v>33</v>
      </c>
      <c r="P34" s="10">
        <v>570042.54662364454</v>
      </c>
    </row>
    <row r="35" spans="2:16" ht="15.75" x14ac:dyDescent="0.5">
      <c r="B35" s="1"/>
      <c r="C35" s="2"/>
      <c r="D35" s="2">
        <v>19</v>
      </c>
      <c r="E35" s="2">
        <f t="shared" si="4"/>
        <v>48</v>
      </c>
      <c r="F35" s="11">
        <f t="shared" ca="1" si="0"/>
        <v>3.7303437881879876E-2</v>
      </c>
      <c r="G35" s="12">
        <f t="shared" ca="1" si="5"/>
        <v>131629.44336089262</v>
      </c>
      <c r="H35" s="12">
        <f t="shared" ca="1" si="1"/>
        <v>3948.8833008267784</v>
      </c>
      <c r="I35" s="12">
        <f t="shared" ca="1" si="2"/>
        <v>3948.8833008267784</v>
      </c>
      <c r="J35" s="12">
        <f t="shared" ca="1" si="3"/>
        <v>7897.7666016535568</v>
      </c>
      <c r="K35" s="7">
        <v>122223</v>
      </c>
      <c r="L35" s="12">
        <f t="shared" ca="1" si="6"/>
        <v>6791.5375486187886</v>
      </c>
      <c r="M35" s="12">
        <f t="shared" ca="1" si="7"/>
        <v>170288.75218508832</v>
      </c>
      <c r="O35">
        <v>34</v>
      </c>
      <c r="P35" s="10">
        <v>574907.1726068689</v>
      </c>
    </row>
    <row r="36" spans="2:16" ht="15.75" x14ac:dyDescent="0.5">
      <c r="B36" s="1"/>
      <c r="C36" s="2"/>
      <c r="D36" s="2">
        <v>20</v>
      </c>
      <c r="E36" s="2">
        <f t="shared" si="4"/>
        <v>49</v>
      </c>
      <c r="F36" s="11">
        <f t="shared" ca="1" si="0"/>
        <v>3.6797687793293753E-2</v>
      </c>
      <c r="G36" s="12">
        <f t="shared" ca="1" si="5"/>
        <v>136473.10252209179</v>
      </c>
      <c r="H36" s="12">
        <f t="shared" ca="1" si="1"/>
        <v>4094.1930756627535</v>
      </c>
      <c r="I36" s="12">
        <f t="shared" ca="1" si="2"/>
        <v>4094.1930756627535</v>
      </c>
      <c r="J36" s="12">
        <f t="shared" ca="1" si="3"/>
        <v>8188.3861513255069</v>
      </c>
      <c r="K36" s="7">
        <v>126501</v>
      </c>
      <c r="L36" s="12">
        <f t="shared" ca="1" si="6"/>
        <v>7306.8668193766835</v>
      </c>
      <c r="M36" s="12">
        <f t="shared" ca="1" si="7"/>
        <v>185784.00515579051</v>
      </c>
      <c r="O36">
        <v>35</v>
      </c>
      <c r="P36" s="10">
        <v>585901.10578725114</v>
      </c>
    </row>
    <row r="37" spans="2:16" ht="15.75" x14ac:dyDescent="0.5">
      <c r="B37" s="1"/>
      <c r="C37" s="2"/>
      <c r="D37" s="2">
        <v>21</v>
      </c>
      <c r="E37" s="2">
        <f t="shared" si="4"/>
        <v>50</v>
      </c>
      <c r="F37" s="11">
        <f t="shared" ca="1" si="0"/>
        <v>3.8632108486237542E-2</v>
      </c>
      <c r="G37" s="12">
        <f t="shared" ca="1" si="5"/>
        <v>141745.34622417868</v>
      </c>
      <c r="H37" s="12">
        <f t="shared" ca="1" si="1"/>
        <v>4252.3603867253605</v>
      </c>
      <c r="I37" s="12">
        <f t="shared" ca="1" si="2"/>
        <v>4252.3603867253605</v>
      </c>
      <c r="J37" s="12">
        <f t="shared" ca="1" si="3"/>
        <v>8504.720773450721</v>
      </c>
      <c r="K37" s="7">
        <v>130928</v>
      </c>
      <c r="L37" s="12">
        <f t="shared" ca="1" si="6"/>
        <v>7841.1590157506726</v>
      </c>
      <c r="M37" s="12">
        <f t="shared" ca="1" si="7"/>
        <v>202129.88494499191</v>
      </c>
      <c r="O37">
        <v>36</v>
      </c>
      <c r="P37" s="10">
        <v>561319.14779666893</v>
      </c>
    </row>
    <row r="38" spans="2:16" ht="15.75" x14ac:dyDescent="0.5">
      <c r="B38" s="1"/>
      <c r="C38" s="2"/>
      <c r="D38" s="2">
        <v>22</v>
      </c>
      <c r="E38" s="2">
        <f t="shared" si="4"/>
        <v>51</v>
      </c>
      <c r="F38" s="11">
        <f t="shared" ca="1" si="0"/>
        <v>3.2599647706315793E-2</v>
      </c>
      <c r="G38" s="12">
        <f t="shared" ca="1" si="5"/>
        <v>146366.19457509666</v>
      </c>
      <c r="H38" s="12">
        <f t="shared" ca="1" si="1"/>
        <v>4390.9858372528997</v>
      </c>
      <c r="I38" s="12">
        <f t="shared" ca="1" si="2"/>
        <v>4390.9858372528997</v>
      </c>
      <c r="J38" s="12">
        <f t="shared" ca="1" si="3"/>
        <v>8781.9716745057995</v>
      </c>
      <c r="K38" s="7">
        <v>135511</v>
      </c>
      <c r="L38" s="12">
        <f t="shared" ca="1" si="6"/>
        <v>8396.0920462183312</v>
      </c>
      <c r="M38" s="12">
        <f t="shared" ca="1" si="7"/>
        <v>219307.94866571605</v>
      </c>
      <c r="O38">
        <v>37</v>
      </c>
      <c r="P38" s="10">
        <v>537102.16066832317</v>
      </c>
    </row>
    <row r="39" spans="2:16" ht="15.75" x14ac:dyDescent="0.5">
      <c r="B39" s="1"/>
      <c r="C39" s="2"/>
      <c r="D39" s="2">
        <v>23</v>
      </c>
      <c r="E39" s="2">
        <f t="shared" si="4"/>
        <v>52</v>
      </c>
      <c r="F39" s="11">
        <f t="shared" ca="1" si="0"/>
        <v>4.1921426266413299E-2</v>
      </c>
      <c r="G39" s="12">
        <f t="shared" ca="1" si="5"/>
        <v>152502.07420887207</v>
      </c>
      <c r="H39" s="12">
        <f t="shared" ca="1" si="1"/>
        <v>4575.0622262661618</v>
      </c>
      <c r="I39" s="12">
        <f t="shared" ca="1" si="2"/>
        <v>4575.0622262661618</v>
      </c>
      <c r="J39" s="12">
        <f t="shared" ca="1" si="3"/>
        <v>9150.1244525323236</v>
      </c>
      <c r="K39" s="7">
        <v>140253</v>
      </c>
      <c r="L39" s="12">
        <f t="shared" ca="1" si="6"/>
        <v>8969.1156979798343</v>
      </c>
      <c r="M39" s="12">
        <f t="shared" ca="1" si="7"/>
        <v>237427.18881622821</v>
      </c>
      <c r="O39">
        <v>38</v>
      </c>
      <c r="P39" s="10">
        <v>557443.2067413996</v>
      </c>
    </row>
    <row r="40" spans="2:16" ht="15.75" x14ac:dyDescent="0.5">
      <c r="B40" s="1"/>
      <c r="C40" s="2"/>
      <c r="D40" s="2">
        <v>24</v>
      </c>
      <c r="E40" s="2">
        <f t="shared" si="4"/>
        <v>53</v>
      </c>
      <c r="F40" s="11">
        <f t="shared" ca="1" si="0"/>
        <v>3.5589370074971233E-2</v>
      </c>
      <c r="G40" s="12">
        <f t="shared" ca="1" si="5"/>
        <v>157929.52696509234</v>
      </c>
      <c r="H40" s="12">
        <f t="shared" ca="1" si="1"/>
        <v>4737.8858089527703</v>
      </c>
      <c r="I40" s="12">
        <f t="shared" ca="1" si="2"/>
        <v>4737.8858089527703</v>
      </c>
      <c r="J40" s="12">
        <f t="shared" ca="1" si="3"/>
        <v>9475.7716179055406</v>
      </c>
      <c r="K40" s="7">
        <v>145162</v>
      </c>
      <c r="L40" s="12">
        <f t="shared" ca="1" si="6"/>
        <v>9566.1613185075694</v>
      </c>
      <c r="M40" s="12">
        <f t="shared" ca="1" si="7"/>
        <v>256469.12175264134</v>
      </c>
      <c r="O40">
        <v>39</v>
      </c>
      <c r="P40" s="10">
        <v>544156.9496235745</v>
      </c>
    </row>
    <row r="41" spans="2:16" ht="15.75" x14ac:dyDescent="0.5">
      <c r="B41" s="1"/>
      <c r="C41" s="2"/>
      <c r="D41" s="2">
        <v>25</v>
      </c>
      <c r="E41" s="2">
        <f t="shared" si="4"/>
        <v>54</v>
      </c>
      <c r="F41" s="11">
        <f t="shared" ca="1" si="0"/>
        <v>3.8337871600014943E-2</v>
      </c>
      <c r="G41" s="12">
        <f t="shared" ca="1" si="5"/>
        <v>163984.20889173113</v>
      </c>
      <c r="H41" s="12">
        <f t="shared" ca="1" si="1"/>
        <v>4919.5262667519337</v>
      </c>
      <c r="I41" s="12">
        <f t="shared" ca="1" si="2"/>
        <v>4919.5262667519337</v>
      </c>
      <c r="J41" s="12">
        <f t="shared" ca="1" si="3"/>
        <v>9839.0525335038674</v>
      </c>
      <c r="K41" s="7">
        <v>150243</v>
      </c>
      <c r="L41" s="12">
        <f t="shared" ca="1" si="6"/>
        <v>10184.455416575905</v>
      </c>
      <c r="M41" s="12">
        <f t="shared" ca="1" si="7"/>
        <v>276492.62970272114</v>
      </c>
      <c r="O41">
        <v>40</v>
      </c>
      <c r="P41" s="10">
        <v>542066.70729318238</v>
      </c>
    </row>
    <row r="42" spans="2:16" ht="15.75" x14ac:dyDescent="0.5">
      <c r="B42" s="1"/>
      <c r="C42" s="2"/>
      <c r="D42" s="2">
        <v>26</v>
      </c>
      <c r="E42" s="2">
        <f t="shared" si="4"/>
        <v>55</v>
      </c>
      <c r="F42" s="11">
        <f t="shared" ca="1" si="0"/>
        <v>3.5377875335718706E-2</v>
      </c>
      <c r="G42" s="12">
        <f t="shared" ca="1" si="5"/>
        <v>169785.62179092926</v>
      </c>
      <c r="H42" s="12">
        <f t="shared" ca="1" si="1"/>
        <v>5093.568653727878</v>
      </c>
      <c r="I42" s="12">
        <f t="shared" ca="1" si="2"/>
        <v>5093.568653727878</v>
      </c>
      <c r="J42" s="12">
        <f t="shared" ca="1" si="3"/>
        <v>10187.137307455756</v>
      </c>
      <c r="K42" s="7">
        <v>155502</v>
      </c>
      <c r="L42" s="12">
        <f t="shared" ca="1" si="6"/>
        <v>10826.453594387032</v>
      </c>
      <c r="M42" s="12">
        <f t="shared" ca="1" si="7"/>
        <v>297506.22060456395</v>
      </c>
      <c r="O42">
        <v>41</v>
      </c>
      <c r="P42" s="10">
        <v>552823.97389946296</v>
      </c>
    </row>
    <row r="43" spans="2:16" ht="15.75" x14ac:dyDescent="0.5">
      <c r="B43" s="1"/>
      <c r="C43" s="2"/>
      <c r="D43" s="2">
        <v>27</v>
      </c>
      <c r="E43" s="2">
        <f t="shared" si="4"/>
        <v>56</v>
      </c>
      <c r="F43" s="11">
        <f t="shared" ca="1" si="0"/>
        <v>4.0323845032529185E-2</v>
      </c>
      <c r="G43" s="12">
        <f t="shared" ca="1" si="5"/>
        <v>176632.0308927783</v>
      </c>
      <c r="H43" s="12">
        <f t="shared" ca="1" si="1"/>
        <v>5298.9609267833494</v>
      </c>
      <c r="I43" s="12">
        <f t="shared" ca="1" si="2"/>
        <v>5298.9609267833494</v>
      </c>
      <c r="J43" s="12">
        <f t="shared" ca="1" si="3"/>
        <v>10597.921853566699</v>
      </c>
      <c r="K43" s="7">
        <v>160944</v>
      </c>
      <c r="L43" s="12">
        <f t="shared" ca="1" si="6"/>
        <v>11491.164303698521</v>
      </c>
      <c r="M43" s="12">
        <f t="shared" ca="1" si="7"/>
        <v>319595.30676182918</v>
      </c>
      <c r="O43">
        <v>42</v>
      </c>
      <c r="P43" s="10">
        <v>560574.65015455091</v>
      </c>
    </row>
    <row r="44" spans="2:16" ht="15.75" x14ac:dyDescent="0.5">
      <c r="B44" s="1"/>
      <c r="C44" s="2"/>
      <c r="D44" s="2">
        <v>28</v>
      </c>
      <c r="E44" s="2">
        <f t="shared" si="4"/>
        <v>57</v>
      </c>
      <c r="F44" s="11">
        <f t="shared" ca="1" si="0"/>
        <v>3.6205078008884138E-2</v>
      </c>
      <c r="G44" s="12">
        <f t="shared" ca="1" si="5"/>
        <v>183027.00735011898</v>
      </c>
      <c r="H44" s="12">
        <f t="shared" ca="1" si="1"/>
        <v>5490.8102205035693</v>
      </c>
      <c r="I44" s="12">
        <f t="shared" ca="1" si="2"/>
        <v>5490.8102205035693</v>
      </c>
      <c r="J44" s="12">
        <f t="shared" ca="1" si="3"/>
        <v>10981.620441007139</v>
      </c>
      <c r="K44" s="7">
        <v>166577</v>
      </c>
      <c r="L44" s="12">
        <f t="shared" ca="1" si="6"/>
        <v>12182.678704643748</v>
      </c>
      <c r="M44" s="12">
        <f t="shared" ca="1" si="7"/>
        <v>342759.60590748006</v>
      </c>
      <c r="O44">
        <v>43</v>
      </c>
      <c r="P44" s="10">
        <v>557603.31475461798</v>
      </c>
    </row>
    <row r="45" spans="2:16" ht="15.75" x14ac:dyDescent="0.5">
      <c r="B45" s="1"/>
      <c r="C45" s="2"/>
      <c r="D45" s="2">
        <v>29</v>
      </c>
      <c r="E45" s="2">
        <f t="shared" si="4"/>
        <v>58</v>
      </c>
      <c r="F45" s="11">
        <f t="shared" ca="1" si="0"/>
        <v>2.7750964184139783E-2</v>
      </c>
      <c r="G45" s="12">
        <f t="shared" ca="1" si="5"/>
        <v>188106.18327582243</v>
      </c>
      <c r="H45" s="12">
        <f t="shared" ca="1" si="1"/>
        <v>5643.1854982746727</v>
      </c>
      <c r="I45" s="12">
        <f t="shared" ca="1" si="2"/>
        <v>5643.1854982746727</v>
      </c>
      <c r="J45" s="12">
        <f t="shared" ca="1" si="3"/>
        <v>11286.370996549345</v>
      </c>
      <c r="K45" s="7">
        <v>172407</v>
      </c>
      <c r="L45" s="12">
        <f t="shared" ca="1" si="6"/>
        <v>12899.229438419463</v>
      </c>
      <c r="M45" s="12">
        <f t="shared" ca="1" si="7"/>
        <v>366945.20634244889</v>
      </c>
      <c r="O45">
        <v>44</v>
      </c>
      <c r="P45" s="10">
        <v>538595.93683515373</v>
      </c>
    </row>
    <row r="46" spans="2:16" ht="15.75" x14ac:dyDescent="0.5">
      <c r="B46" s="1"/>
      <c r="C46" s="2"/>
      <c r="D46" s="2">
        <v>30</v>
      </c>
      <c r="E46" s="2">
        <f t="shared" si="4"/>
        <v>59</v>
      </c>
      <c r="F46" s="11">
        <f t="shared" ca="1" si="0"/>
        <v>2.8447853929233987E-2</v>
      </c>
      <c r="G46" s="12">
        <f t="shared" ca="1" si="5"/>
        <v>193457.40050083873</v>
      </c>
      <c r="H46" s="12">
        <f t="shared" ca="1" si="1"/>
        <v>5803.7220150251615</v>
      </c>
      <c r="I46" s="12">
        <f t="shared" ca="1" si="2"/>
        <v>5803.7220150251615</v>
      </c>
      <c r="J46" s="12">
        <f t="shared" ca="1" si="3"/>
        <v>11607.444030050323</v>
      </c>
      <c r="K46" s="7">
        <v>178442</v>
      </c>
      <c r="L46" s="12">
        <f t="shared" ca="1" si="6"/>
        <v>13635.665145944307</v>
      </c>
      <c r="M46" s="12">
        <f t="shared" ca="1" si="7"/>
        <v>392188.31551844353</v>
      </c>
      <c r="O46">
        <v>45</v>
      </c>
      <c r="P46" s="10">
        <v>553014.74678808218</v>
      </c>
    </row>
    <row r="47" spans="2:16" ht="15.75" x14ac:dyDescent="0.5">
      <c r="B47" s="1"/>
      <c r="C47" s="2"/>
      <c r="D47" s="2">
        <v>31</v>
      </c>
      <c r="E47" s="2">
        <f t="shared" si="4"/>
        <v>60</v>
      </c>
      <c r="F47" s="11">
        <f t="shared" ca="1" si="0"/>
        <v>3.277109763028041E-2</v>
      </c>
      <c r="G47" s="12">
        <f t="shared" ca="1" si="5"/>
        <v>199797.21185995199</v>
      </c>
      <c r="H47" s="12">
        <f t="shared" ca="1" si="1"/>
        <v>5993.9163557985594</v>
      </c>
      <c r="I47" s="12">
        <f t="shared" ca="1" si="2"/>
        <v>5993.9163557985594</v>
      </c>
      <c r="J47" s="12">
        <f t="shared" ca="1" si="3"/>
        <v>11987.832711597119</v>
      </c>
      <c r="K47" s="7">
        <v>184687</v>
      </c>
      <c r="L47" s="12">
        <f t="shared" ca="1" si="6"/>
        <v>14393.050868905091</v>
      </c>
      <c r="M47" s="12">
        <f t="shared" ca="1" si="7"/>
        <v>418569.19909894571</v>
      </c>
      <c r="O47">
        <v>46</v>
      </c>
      <c r="P47" s="10">
        <v>553108.21259702742</v>
      </c>
    </row>
    <row r="48" spans="2:16" ht="15.75" x14ac:dyDescent="0.5">
      <c r="B48" s="1"/>
      <c r="C48" s="2"/>
      <c r="D48" s="2">
        <v>32</v>
      </c>
      <c r="E48" s="2">
        <f t="shared" si="4"/>
        <v>61</v>
      </c>
      <c r="F48" s="11">
        <f t="shared" ca="1" si="0"/>
        <v>3.7668546747372127E-2</v>
      </c>
      <c r="G48" s="12">
        <f t="shared" ca="1" si="5"/>
        <v>207323.2824748932</v>
      </c>
      <c r="H48" s="12">
        <f t="shared" ca="1" si="1"/>
        <v>6219.6984742467957</v>
      </c>
      <c r="I48" s="12">
        <f t="shared" ca="1" si="2"/>
        <v>6219.6984742467957</v>
      </c>
      <c r="J48" s="12">
        <f t="shared" ca="1" si="3"/>
        <v>12439.396948493591</v>
      </c>
      <c r="K48" s="7">
        <v>191151</v>
      </c>
      <c r="L48" s="12">
        <f t="shared" ca="1" si="6"/>
        <v>15175.256953336804</v>
      </c>
      <c r="M48" s="12">
        <f t="shared" ca="1" si="7"/>
        <v>446183.85300077609</v>
      </c>
      <c r="O48">
        <v>47</v>
      </c>
      <c r="P48" s="10">
        <v>560971.82431769278</v>
      </c>
    </row>
    <row r="49" spans="2:16" ht="15.75" x14ac:dyDescent="0.5">
      <c r="B49" s="1"/>
      <c r="C49" s="2"/>
      <c r="D49" s="2">
        <v>33</v>
      </c>
      <c r="E49" s="2">
        <f t="shared" si="4"/>
        <v>62</v>
      </c>
      <c r="F49" s="11">
        <f t="shared" ca="1" si="0"/>
        <v>2.3964456900346195E-2</v>
      </c>
      <c r="G49" s="12">
        <f t="shared" ca="1" si="5"/>
        <v>212291.67234220105</v>
      </c>
      <c r="H49" s="12">
        <f t="shared" ca="1" si="1"/>
        <v>6368.7501702660311</v>
      </c>
      <c r="I49" s="12">
        <f t="shared" ca="1" si="2"/>
        <v>6368.7501702660311</v>
      </c>
      <c r="J49" s="12">
        <f t="shared" ca="1" si="3"/>
        <v>12737.500340532062</v>
      </c>
      <c r="K49" s="7">
        <v>197841</v>
      </c>
      <c r="L49" s="12">
        <f t="shared" ca="1" si="6"/>
        <v>15986.927604226012</v>
      </c>
      <c r="M49" s="12">
        <f t="shared" ca="1" si="7"/>
        <v>474908.28094553418</v>
      </c>
      <c r="O49">
        <v>48</v>
      </c>
      <c r="P49" s="10">
        <v>554573.26356748212</v>
      </c>
    </row>
    <row r="50" spans="2:16" ht="15.75" x14ac:dyDescent="0.5">
      <c r="B50" s="1"/>
      <c r="C50" s="2"/>
      <c r="D50" s="2">
        <v>34</v>
      </c>
      <c r="E50" s="2">
        <f t="shared" si="4"/>
        <v>63</v>
      </c>
      <c r="F50" s="11">
        <f t="shared" ca="1" si="0"/>
        <v>2.7085495781927732E-2</v>
      </c>
      <c r="G50" s="12">
        <f t="shared" ca="1" si="5"/>
        <v>218041.69753796412</v>
      </c>
      <c r="H50" s="12">
        <f t="shared" ca="1" si="1"/>
        <v>6541.2509261389232</v>
      </c>
      <c r="I50" s="12">
        <f t="shared" ca="1" si="2"/>
        <v>6541.2509261389232</v>
      </c>
      <c r="J50" s="12">
        <f t="shared" ca="1" si="3"/>
        <v>13082.501852277846</v>
      </c>
      <c r="K50" s="7">
        <v>204766</v>
      </c>
      <c r="L50" s="12">
        <f t="shared" ca="1" si="6"/>
        <v>16818.04950144573</v>
      </c>
      <c r="M50" s="12">
        <f t="shared" ca="1" si="7"/>
        <v>504808.83229925775</v>
      </c>
      <c r="O50">
        <v>49</v>
      </c>
      <c r="P50" s="10">
        <v>571246.57349577919</v>
      </c>
    </row>
    <row r="51" spans="2:16" ht="15.75" x14ac:dyDescent="0.5">
      <c r="B51" s="1"/>
      <c r="C51" s="2"/>
      <c r="D51" s="2">
        <v>35</v>
      </c>
      <c r="E51" s="2">
        <f t="shared" si="4"/>
        <v>64</v>
      </c>
      <c r="F51" s="11">
        <f t="shared" ca="1" si="0"/>
        <v>3.6383682503498979E-2</v>
      </c>
      <c r="G51" s="12">
        <f t="shared" ca="1" si="5"/>
        <v>225974.85743370935</v>
      </c>
      <c r="H51" s="12">
        <f t="shared" ca="1" si="1"/>
        <v>6779.2457230112805</v>
      </c>
      <c r="I51" s="12">
        <f t="shared" ca="1" si="2"/>
        <v>6779.2457230112805</v>
      </c>
      <c r="J51" s="12">
        <f t="shared" ca="1" si="3"/>
        <v>13558.491446022561</v>
      </c>
      <c r="K51" s="7">
        <v>211933</v>
      </c>
      <c r="L51" s="12">
        <f t="shared" ca="1" si="6"/>
        <v>17671.682747306859</v>
      </c>
      <c r="M51" s="12">
        <f t="shared" ca="1" si="7"/>
        <v>536039.00649258716</v>
      </c>
      <c r="O51">
        <v>50</v>
      </c>
      <c r="P51" s="10">
        <v>557888.13683693355</v>
      </c>
    </row>
    <row r="52" spans="2:16" ht="15.75" x14ac:dyDescent="0.5">
      <c r="B52" s="1"/>
      <c r="C52" s="2"/>
      <c r="D52" s="2">
        <v>36</v>
      </c>
      <c r="E52" s="2">
        <f t="shared" si="4"/>
        <v>65</v>
      </c>
      <c r="F52" s="11">
        <f t="shared" ca="1" si="0"/>
        <v>5.4795446659750856E-2</v>
      </c>
      <c r="G52" s="12">
        <f t="shared" ca="1" si="5"/>
        <v>238357.25068066298</v>
      </c>
      <c r="H52" s="12">
        <f t="shared" ca="1" si="1"/>
        <v>7150.7175204198893</v>
      </c>
      <c r="I52" s="12">
        <f t="shared" ca="1" si="2"/>
        <v>7150.7175204198893</v>
      </c>
      <c r="J52" s="12">
        <f t="shared" ca="1" si="3"/>
        <v>14301.435040839779</v>
      </c>
      <c r="K52" s="7">
        <v>219350</v>
      </c>
      <c r="L52" s="12">
        <f t="shared" ca="1" si="6"/>
        <v>18556.374314159832</v>
      </c>
      <c r="M52" s="12">
        <f ca="1">J52+L52+M51</f>
        <v>568896.81584758672</v>
      </c>
      <c r="O52">
        <v>51</v>
      </c>
      <c r="P52" s="10">
        <v>561261.58851197502</v>
      </c>
    </row>
    <row r="53" spans="2:16" x14ac:dyDescent="0.45">
      <c r="O53">
        <v>52</v>
      </c>
      <c r="P53" s="10">
        <v>574876.16605434089</v>
      </c>
    </row>
    <row r="54" spans="2:16" x14ac:dyDescent="0.45">
      <c r="O54">
        <v>53</v>
      </c>
      <c r="P54" s="10">
        <v>577145.92622856121</v>
      </c>
    </row>
    <row r="55" spans="2:16" x14ac:dyDescent="0.45">
      <c r="O55">
        <v>54</v>
      </c>
      <c r="P55" s="10">
        <v>556384.4456943043</v>
      </c>
    </row>
    <row r="56" spans="2:16" x14ac:dyDescent="0.45">
      <c r="O56">
        <v>55</v>
      </c>
      <c r="P56" s="10">
        <v>563926.00051561568</v>
      </c>
    </row>
    <row r="57" spans="2:16" x14ac:dyDescent="0.45">
      <c r="O57">
        <v>56</v>
      </c>
      <c r="P57" s="10">
        <v>538651.39222801954</v>
      </c>
    </row>
    <row r="58" spans="2:16" x14ac:dyDescent="0.45">
      <c r="O58">
        <v>57</v>
      </c>
      <c r="P58" s="10">
        <v>558723.2397776763</v>
      </c>
    </row>
    <row r="59" spans="2:16" x14ac:dyDescent="0.45">
      <c r="O59">
        <v>58</v>
      </c>
      <c r="P59" s="10">
        <v>547043.62660718837</v>
      </c>
    </row>
    <row r="60" spans="2:16" x14ac:dyDescent="0.45">
      <c r="O60">
        <v>59</v>
      </c>
      <c r="P60" s="10">
        <v>565044.75329845748</v>
      </c>
    </row>
    <row r="61" spans="2:16" x14ac:dyDescent="0.45">
      <c r="O61">
        <v>60</v>
      </c>
      <c r="P61" s="10">
        <v>567021.50286414905</v>
      </c>
    </row>
    <row r="62" spans="2:16" x14ac:dyDescent="0.45">
      <c r="O62">
        <v>61</v>
      </c>
      <c r="P62" s="10">
        <v>575974.53048050473</v>
      </c>
    </row>
    <row r="63" spans="2:16" x14ac:dyDescent="0.45">
      <c r="O63">
        <v>62</v>
      </c>
      <c r="P63" s="10">
        <v>549705.7091411585</v>
      </c>
    </row>
    <row r="64" spans="2:16" x14ac:dyDescent="0.45">
      <c r="O64">
        <v>63</v>
      </c>
      <c r="P64" s="10">
        <v>545426.79924710677</v>
      </c>
    </row>
    <row r="65" spans="15:16" x14ac:dyDescent="0.45">
      <c r="O65">
        <v>64</v>
      </c>
      <c r="P65" s="10">
        <v>551986.07413335715</v>
      </c>
    </row>
    <row r="66" spans="15:16" x14ac:dyDescent="0.45">
      <c r="O66">
        <v>65</v>
      </c>
      <c r="P66" s="10">
        <v>566888.37645885488</v>
      </c>
    </row>
    <row r="67" spans="15:16" x14ac:dyDescent="0.45">
      <c r="O67">
        <v>66</v>
      </c>
      <c r="P67" s="10">
        <v>573220.70422291732</v>
      </c>
    </row>
    <row r="68" spans="15:16" x14ac:dyDescent="0.45">
      <c r="O68">
        <v>67</v>
      </c>
      <c r="P68" s="10">
        <v>560404.62406587182</v>
      </c>
    </row>
    <row r="69" spans="15:16" x14ac:dyDescent="0.45">
      <c r="O69">
        <v>68</v>
      </c>
      <c r="P69" s="10">
        <v>561632.26814617298</v>
      </c>
    </row>
    <row r="70" spans="15:16" x14ac:dyDescent="0.45">
      <c r="O70">
        <v>69</v>
      </c>
      <c r="P70" s="10">
        <v>568977.25316732738</v>
      </c>
    </row>
    <row r="71" spans="15:16" x14ac:dyDescent="0.45">
      <c r="O71">
        <v>70</v>
      </c>
      <c r="P71" s="10">
        <v>561071.95772086037</v>
      </c>
    </row>
    <row r="72" spans="15:16" x14ac:dyDescent="0.45">
      <c r="O72">
        <v>71</v>
      </c>
      <c r="P72" s="10">
        <v>567951.26678167004</v>
      </c>
    </row>
    <row r="73" spans="15:16" x14ac:dyDescent="0.45">
      <c r="O73">
        <v>72</v>
      </c>
      <c r="P73" s="10">
        <v>533234.39057057071</v>
      </c>
    </row>
    <row r="74" spans="15:16" x14ac:dyDescent="0.45">
      <c r="O74">
        <v>73</v>
      </c>
      <c r="P74" s="10">
        <v>557953.04687066935</v>
      </c>
    </row>
    <row r="75" spans="15:16" x14ac:dyDescent="0.45">
      <c r="O75">
        <v>74</v>
      </c>
      <c r="P75" s="10">
        <v>576563.78525785625</v>
      </c>
    </row>
    <row r="76" spans="15:16" x14ac:dyDescent="0.45">
      <c r="O76">
        <v>75</v>
      </c>
      <c r="P76" s="10">
        <v>572256.51444072567</v>
      </c>
    </row>
    <row r="77" spans="15:16" x14ac:dyDescent="0.45">
      <c r="O77">
        <v>76</v>
      </c>
      <c r="P77" s="10">
        <v>579041.58805309737</v>
      </c>
    </row>
    <row r="78" spans="15:16" x14ac:dyDescent="0.45">
      <c r="O78">
        <v>77</v>
      </c>
      <c r="P78" s="10">
        <v>540905.55342578806</v>
      </c>
    </row>
    <row r="79" spans="15:16" x14ac:dyDescent="0.45">
      <c r="O79">
        <v>78</v>
      </c>
      <c r="P79" s="10">
        <v>580210.33431780315</v>
      </c>
    </row>
    <row r="80" spans="15:16" x14ac:dyDescent="0.45">
      <c r="O80">
        <v>79</v>
      </c>
      <c r="P80" s="10">
        <v>566825.03209525789</v>
      </c>
    </row>
    <row r="81" spans="15:16" x14ac:dyDescent="0.45">
      <c r="O81">
        <v>80</v>
      </c>
      <c r="P81" s="10">
        <v>558238.90971372719</v>
      </c>
    </row>
    <row r="82" spans="15:16" x14ac:dyDescent="0.45">
      <c r="O82">
        <v>81</v>
      </c>
      <c r="P82" s="10">
        <v>565643.72671533003</v>
      </c>
    </row>
    <row r="83" spans="15:16" x14ac:dyDescent="0.45">
      <c r="O83">
        <v>82</v>
      </c>
      <c r="P83" s="10">
        <v>545370.73374402209</v>
      </c>
    </row>
    <row r="84" spans="15:16" x14ac:dyDescent="0.45">
      <c r="O84">
        <v>83</v>
      </c>
      <c r="P84" s="10">
        <v>561226.87642166135</v>
      </c>
    </row>
    <row r="85" spans="15:16" x14ac:dyDescent="0.45">
      <c r="O85">
        <v>84</v>
      </c>
      <c r="P85" s="10">
        <v>547838.12499362545</v>
      </c>
    </row>
    <row r="86" spans="15:16" x14ac:dyDescent="0.45">
      <c r="O86">
        <v>85</v>
      </c>
      <c r="P86" s="10">
        <v>551785.74738477392</v>
      </c>
    </row>
    <row r="87" spans="15:16" x14ac:dyDescent="0.45">
      <c r="O87">
        <v>86</v>
      </c>
      <c r="P87" s="10">
        <v>585588.45318836777</v>
      </c>
    </row>
    <row r="88" spans="15:16" x14ac:dyDescent="0.45">
      <c r="O88">
        <v>87</v>
      </c>
      <c r="P88" s="10">
        <v>536273.31329600723</v>
      </c>
    </row>
    <row r="89" spans="15:16" x14ac:dyDescent="0.45">
      <c r="O89">
        <v>88</v>
      </c>
      <c r="P89" s="10">
        <v>562500.46053428866</v>
      </c>
    </row>
    <row r="90" spans="15:16" x14ac:dyDescent="0.45">
      <c r="O90">
        <v>89</v>
      </c>
      <c r="P90" s="10">
        <v>554060.0095052406</v>
      </c>
    </row>
    <row r="91" spans="15:16" x14ac:dyDescent="0.45">
      <c r="O91">
        <v>90</v>
      </c>
      <c r="P91" s="10">
        <v>577522.29575082427</v>
      </c>
    </row>
    <row r="92" spans="15:16" x14ac:dyDescent="0.45">
      <c r="O92">
        <v>91</v>
      </c>
      <c r="P92" s="10">
        <v>577232.97242762416</v>
      </c>
    </row>
    <row r="93" spans="15:16" x14ac:dyDescent="0.45">
      <c r="O93">
        <v>92</v>
      </c>
      <c r="P93" s="10">
        <v>547370.88013718673</v>
      </c>
    </row>
    <row r="94" spans="15:16" x14ac:dyDescent="0.45">
      <c r="O94">
        <v>93</v>
      </c>
      <c r="P94" s="10">
        <v>562725.46979290631</v>
      </c>
    </row>
    <row r="95" spans="15:16" x14ac:dyDescent="0.45">
      <c r="O95">
        <v>94</v>
      </c>
      <c r="P95" s="10">
        <v>567610.14136487769</v>
      </c>
    </row>
    <row r="96" spans="15:16" x14ac:dyDescent="0.45">
      <c r="O96">
        <v>95</v>
      </c>
      <c r="P96" s="10">
        <v>569679.72460475797</v>
      </c>
    </row>
    <row r="97" spans="15:16" x14ac:dyDescent="0.45">
      <c r="O97">
        <v>96</v>
      </c>
      <c r="P97" s="10">
        <v>563038.17708074581</v>
      </c>
    </row>
    <row r="98" spans="15:16" x14ac:dyDescent="0.45">
      <c r="O98">
        <v>97</v>
      </c>
      <c r="P98" s="10">
        <v>569466.48510106979</v>
      </c>
    </row>
    <row r="99" spans="15:16" x14ac:dyDescent="0.45">
      <c r="O99">
        <v>98</v>
      </c>
      <c r="P99" s="10">
        <v>553347.28039872984</v>
      </c>
    </row>
    <row r="100" spans="15:16" x14ac:dyDescent="0.45">
      <c r="O100">
        <v>99</v>
      </c>
      <c r="P100" s="10">
        <v>557532.34542476619</v>
      </c>
    </row>
    <row r="101" spans="15:16" x14ac:dyDescent="0.45">
      <c r="O101">
        <v>100</v>
      </c>
      <c r="P101" s="10">
        <v>561778.43379712792</v>
      </c>
    </row>
    <row r="102" spans="15:16" x14ac:dyDescent="0.45">
      <c r="O102">
        <v>101</v>
      </c>
      <c r="P102" s="10">
        <v>574861.57840502751</v>
      </c>
    </row>
    <row r="103" spans="15:16" x14ac:dyDescent="0.45">
      <c r="O103">
        <v>102</v>
      </c>
      <c r="P103" s="10">
        <v>566542.24020458339</v>
      </c>
    </row>
    <row r="104" spans="15:16" x14ac:dyDescent="0.45">
      <c r="O104">
        <v>103</v>
      </c>
      <c r="P104" s="10">
        <v>532444.50346644328</v>
      </c>
    </row>
    <row r="105" spans="15:16" x14ac:dyDescent="0.45">
      <c r="O105">
        <v>104</v>
      </c>
      <c r="P105" s="10">
        <v>541569.73033503839</v>
      </c>
    </row>
    <row r="106" spans="15:16" x14ac:dyDescent="0.45">
      <c r="O106">
        <v>105</v>
      </c>
      <c r="P106" s="10">
        <v>538504.26771900011</v>
      </c>
    </row>
    <row r="107" spans="15:16" x14ac:dyDescent="0.45">
      <c r="O107">
        <v>106</v>
      </c>
      <c r="P107" s="10">
        <v>565189.18696494063</v>
      </c>
    </row>
    <row r="108" spans="15:16" x14ac:dyDescent="0.45">
      <c r="O108">
        <v>107</v>
      </c>
      <c r="P108" s="10">
        <v>567254.07036196301</v>
      </c>
    </row>
    <row r="109" spans="15:16" x14ac:dyDescent="0.45">
      <c r="O109">
        <v>108</v>
      </c>
      <c r="P109" s="10">
        <v>550720.01061182062</v>
      </c>
    </row>
    <row r="110" spans="15:16" x14ac:dyDescent="0.45">
      <c r="O110">
        <v>109</v>
      </c>
      <c r="P110" s="10">
        <v>567536.53852799034</v>
      </c>
    </row>
    <row r="111" spans="15:16" x14ac:dyDescent="0.45">
      <c r="O111">
        <v>110</v>
      </c>
      <c r="P111" s="10">
        <v>556194.10331346269</v>
      </c>
    </row>
    <row r="112" spans="15:16" x14ac:dyDescent="0.45">
      <c r="O112">
        <v>111</v>
      </c>
      <c r="P112" s="10">
        <v>569360.52446808689</v>
      </c>
    </row>
    <row r="113" spans="15:16" x14ac:dyDescent="0.45">
      <c r="O113">
        <v>112</v>
      </c>
      <c r="P113" s="10">
        <v>570342.9638051365</v>
      </c>
    </row>
    <row r="114" spans="15:16" x14ac:dyDescent="0.45">
      <c r="O114">
        <v>113</v>
      </c>
      <c r="P114" s="10">
        <v>552139.89819664287</v>
      </c>
    </row>
    <row r="115" spans="15:16" x14ac:dyDescent="0.45">
      <c r="O115">
        <v>114</v>
      </c>
      <c r="P115" s="10">
        <v>545468.14485479984</v>
      </c>
    </row>
    <row r="116" spans="15:16" x14ac:dyDescent="0.45">
      <c r="O116">
        <v>115</v>
      </c>
      <c r="P116" s="10">
        <v>555549.7056509034</v>
      </c>
    </row>
    <row r="117" spans="15:16" x14ac:dyDescent="0.45">
      <c r="O117">
        <v>116</v>
      </c>
      <c r="P117" s="10">
        <v>578217.44756545092</v>
      </c>
    </row>
    <row r="118" spans="15:16" x14ac:dyDescent="0.45">
      <c r="O118">
        <v>117</v>
      </c>
      <c r="P118" s="10">
        <v>550417.42490074399</v>
      </c>
    </row>
    <row r="119" spans="15:16" x14ac:dyDescent="0.45">
      <c r="O119">
        <v>118</v>
      </c>
      <c r="P119" s="10">
        <v>556952.17253804416</v>
      </c>
    </row>
    <row r="120" spans="15:16" x14ac:dyDescent="0.45">
      <c r="O120">
        <v>119</v>
      </c>
      <c r="P120" s="10">
        <v>585525.06771239417</v>
      </c>
    </row>
    <row r="121" spans="15:16" x14ac:dyDescent="0.45">
      <c r="O121">
        <v>120</v>
      </c>
      <c r="P121" s="10">
        <v>532664.58002610272</v>
      </c>
    </row>
    <row r="122" spans="15:16" x14ac:dyDescent="0.45">
      <c r="O122">
        <v>121</v>
      </c>
      <c r="P122" s="10">
        <v>550808.92740058713</v>
      </c>
    </row>
    <row r="123" spans="15:16" x14ac:dyDescent="0.45">
      <c r="O123">
        <v>122</v>
      </c>
      <c r="P123" s="10">
        <v>561393.72457770363</v>
      </c>
    </row>
    <row r="124" spans="15:16" x14ac:dyDescent="0.45">
      <c r="O124">
        <v>123</v>
      </c>
      <c r="P124" s="10">
        <v>551196.54120107472</v>
      </c>
    </row>
    <row r="125" spans="15:16" x14ac:dyDescent="0.45">
      <c r="O125">
        <v>124</v>
      </c>
      <c r="P125" s="10">
        <v>549890.79148359399</v>
      </c>
    </row>
    <row r="126" spans="15:16" x14ac:dyDescent="0.45">
      <c r="O126">
        <v>125</v>
      </c>
      <c r="P126" s="10">
        <v>561545.23786093085</v>
      </c>
    </row>
    <row r="127" spans="15:16" x14ac:dyDescent="0.45">
      <c r="O127">
        <v>126</v>
      </c>
      <c r="P127" s="10">
        <v>568215.33171304106</v>
      </c>
    </row>
    <row r="128" spans="15:16" x14ac:dyDescent="0.45">
      <c r="O128">
        <v>127</v>
      </c>
      <c r="P128" s="10">
        <v>564425.93313019781</v>
      </c>
    </row>
    <row r="129" spans="15:16" x14ac:dyDescent="0.45">
      <c r="O129">
        <v>128</v>
      </c>
      <c r="P129" s="10">
        <v>526510.00427025789</v>
      </c>
    </row>
    <row r="130" spans="15:16" x14ac:dyDescent="0.45">
      <c r="O130">
        <v>129</v>
      </c>
      <c r="P130" s="10">
        <v>547433.29745316319</v>
      </c>
    </row>
    <row r="131" spans="15:16" x14ac:dyDescent="0.45">
      <c r="O131">
        <v>130</v>
      </c>
      <c r="P131" s="10">
        <v>542472.48446392291</v>
      </c>
    </row>
    <row r="132" spans="15:16" x14ac:dyDescent="0.45">
      <c r="O132">
        <v>131</v>
      </c>
      <c r="P132" s="10">
        <v>547996.8504003766</v>
      </c>
    </row>
    <row r="133" spans="15:16" x14ac:dyDescent="0.45">
      <c r="O133">
        <v>132</v>
      </c>
      <c r="P133" s="10">
        <v>549151.55153537949</v>
      </c>
    </row>
    <row r="134" spans="15:16" x14ac:dyDescent="0.45">
      <c r="O134">
        <v>133</v>
      </c>
      <c r="P134" s="10">
        <v>560856.13553009555</v>
      </c>
    </row>
    <row r="135" spans="15:16" x14ac:dyDescent="0.45">
      <c r="O135">
        <v>134</v>
      </c>
      <c r="P135" s="10">
        <v>558941.70911426016</v>
      </c>
    </row>
    <row r="136" spans="15:16" x14ac:dyDescent="0.45">
      <c r="O136">
        <v>135</v>
      </c>
      <c r="P136" s="10">
        <v>547309.9539505475</v>
      </c>
    </row>
    <row r="137" spans="15:16" x14ac:dyDescent="0.45">
      <c r="O137">
        <v>136</v>
      </c>
      <c r="P137" s="10">
        <v>585488.23980727338</v>
      </c>
    </row>
    <row r="138" spans="15:16" x14ac:dyDescent="0.45">
      <c r="O138">
        <v>137</v>
      </c>
      <c r="P138" s="10">
        <v>561821.23192572733</v>
      </c>
    </row>
    <row r="139" spans="15:16" x14ac:dyDescent="0.45">
      <c r="O139">
        <v>138</v>
      </c>
      <c r="P139" s="10">
        <v>555132.15499661607</v>
      </c>
    </row>
    <row r="140" spans="15:16" x14ac:dyDescent="0.45">
      <c r="O140">
        <v>139</v>
      </c>
      <c r="P140" s="10">
        <v>545818.71793269995</v>
      </c>
    </row>
    <row r="141" spans="15:16" x14ac:dyDescent="0.45">
      <c r="O141">
        <v>140</v>
      </c>
      <c r="P141" s="10">
        <v>552135.53540734621</v>
      </c>
    </row>
    <row r="142" spans="15:16" x14ac:dyDescent="0.45">
      <c r="O142">
        <v>141</v>
      </c>
      <c r="P142" s="10">
        <v>555158.26983820053</v>
      </c>
    </row>
    <row r="143" spans="15:16" x14ac:dyDescent="0.45">
      <c r="O143">
        <v>142</v>
      </c>
      <c r="P143" s="10">
        <v>551095.33142581384</v>
      </c>
    </row>
    <row r="144" spans="15:16" x14ac:dyDescent="0.45">
      <c r="O144">
        <v>143</v>
      </c>
      <c r="P144" s="10">
        <v>571141.23411954602</v>
      </c>
    </row>
    <row r="145" spans="15:16" x14ac:dyDescent="0.45">
      <c r="O145">
        <v>144</v>
      </c>
      <c r="P145" s="10">
        <v>546312.32778559241</v>
      </c>
    </row>
    <row r="146" spans="15:16" x14ac:dyDescent="0.45">
      <c r="O146">
        <v>145</v>
      </c>
      <c r="P146" s="10">
        <v>534389.73007067898</v>
      </c>
    </row>
    <row r="147" spans="15:16" x14ac:dyDescent="0.45">
      <c r="O147">
        <v>146</v>
      </c>
      <c r="P147" s="10">
        <v>549533.33051275427</v>
      </c>
    </row>
    <row r="148" spans="15:16" x14ac:dyDescent="0.45">
      <c r="O148">
        <v>147</v>
      </c>
      <c r="P148" s="10">
        <v>573027.87362514634</v>
      </c>
    </row>
    <row r="149" spans="15:16" x14ac:dyDescent="0.45">
      <c r="O149">
        <v>148</v>
      </c>
      <c r="P149" s="10">
        <v>563194.4456603931</v>
      </c>
    </row>
    <row r="150" spans="15:16" x14ac:dyDescent="0.45">
      <c r="O150">
        <v>149</v>
      </c>
      <c r="P150" s="10">
        <v>570827.32290711533</v>
      </c>
    </row>
    <row r="151" spans="15:16" x14ac:dyDescent="0.45">
      <c r="O151">
        <v>150</v>
      </c>
      <c r="P151" s="10">
        <v>576954.95760515705</v>
      </c>
    </row>
    <row r="152" spans="15:16" x14ac:dyDescent="0.45">
      <c r="O152">
        <v>151</v>
      </c>
      <c r="P152" s="10">
        <v>570719.36403528252</v>
      </c>
    </row>
    <row r="153" spans="15:16" x14ac:dyDescent="0.45">
      <c r="O153">
        <v>152</v>
      </c>
      <c r="P153" s="10">
        <v>571011.08096539136</v>
      </c>
    </row>
    <row r="154" spans="15:16" x14ac:dyDescent="0.45">
      <c r="O154">
        <v>153</v>
      </c>
      <c r="P154" s="10">
        <v>588210.3352892393</v>
      </c>
    </row>
    <row r="155" spans="15:16" x14ac:dyDescent="0.45">
      <c r="O155">
        <v>154</v>
      </c>
      <c r="P155" s="10">
        <v>580712.15937470249</v>
      </c>
    </row>
    <row r="156" spans="15:16" x14ac:dyDescent="0.45">
      <c r="O156">
        <v>155</v>
      </c>
      <c r="P156" s="10">
        <v>545773.5729593999</v>
      </c>
    </row>
    <row r="157" spans="15:16" x14ac:dyDescent="0.45">
      <c r="O157">
        <v>156</v>
      </c>
      <c r="P157" s="10">
        <v>557504.22695001878</v>
      </c>
    </row>
    <row r="158" spans="15:16" x14ac:dyDescent="0.45">
      <c r="O158">
        <v>157</v>
      </c>
      <c r="P158" s="10">
        <v>575675.63594014279</v>
      </c>
    </row>
    <row r="159" spans="15:16" x14ac:dyDescent="0.45">
      <c r="O159">
        <v>158</v>
      </c>
      <c r="P159" s="10">
        <v>537269.00389406178</v>
      </c>
    </row>
    <row r="160" spans="15:16" x14ac:dyDescent="0.45">
      <c r="O160">
        <v>159</v>
      </c>
      <c r="P160" s="10">
        <v>546693.52861040994</v>
      </c>
    </row>
    <row r="161" spans="15:16" x14ac:dyDescent="0.45">
      <c r="O161">
        <v>160</v>
      </c>
      <c r="P161" s="10">
        <v>553704.83127899794</v>
      </c>
    </row>
    <row r="162" spans="15:16" x14ac:dyDescent="0.45">
      <c r="O162">
        <v>161</v>
      </c>
      <c r="P162" s="10">
        <v>575971.67944458895</v>
      </c>
    </row>
    <row r="163" spans="15:16" x14ac:dyDescent="0.45">
      <c r="O163">
        <v>162</v>
      </c>
      <c r="P163" s="10">
        <v>566706.83387789608</v>
      </c>
    </row>
    <row r="164" spans="15:16" x14ac:dyDescent="0.45">
      <c r="O164">
        <v>163</v>
      </c>
      <c r="P164" s="10">
        <v>570316.83302853932</v>
      </c>
    </row>
    <row r="165" spans="15:16" x14ac:dyDescent="0.45">
      <c r="O165">
        <v>164</v>
      </c>
      <c r="P165" s="10">
        <v>567080.19948578137</v>
      </c>
    </row>
    <row r="166" spans="15:16" x14ac:dyDescent="0.45">
      <c r="O166">
        <v>165</v>
      </c>
      <c r="P166" s="10">
        <v>557405.68175549735</v>
      </c>
    </row>
    <row r="167" spans="15:16" x14ac:dyDescent="0.45">
      <c r="O167">
        <v>166</v>
      </c>
      <c r="P167" s="10">
        <v>557607.38497010979</v>
      </c>
    </row>
    <row r="168" spans="15:16" x14ac:dyDescent="0.45">
      <c r="O168">
        <v>167</v>
      </c>
      <c r="P168" s="10">
        <v>529252.1008480083</v>
      </c>
    </row>
    <row r="169" spans="15:16" x14ac:dyDescent="0.45">
      <c r="O169">
        <v>168</v>
      </c>
      <c r="P169" s="10">
        <v>549982.52410736354</v>
      </c>
    </row>
    <row r="170" spans="15:16" x14ac:dyDescent="0.45">
      <c r="O170">
        <v>169</v>
      </c>
      <c r="P170" s="10">
        <v>564475.00703160639</v>
      </c>
    </row>
    <row r="171" spans="15:16" x14ac:dyDescent="0.45">
      <c r="O171">
        <v>170</v>
      </c>
      <c r="P171" s="10">
        <v>566955.6837830958</v>
      </c>
    </row>
    <row r="172" spans="15:16" x14ac:dyDescent="0.45">
      <c r="O172">
        <v>171</v>
      </c>
      <c r="P172" s="10">
        <v>573945.75932512409</v>
      </c>
    </row>
    <row r="173" spans="15:16" x14ac:dyDescent="0.45">
      <c r="O173">
        <v>172</v>
      </c>
      <c r="P173" s="10">
        <v>549499.59321101883</v>
      </c>
    </row>
    <row r="174" spans="15:16" x14ac:dyDescent="0.45">
      <c r="O174">
        <v>173</v>
      </c>
      <c r="P174" s="10">
        <v>558734.14222494955</v>
      </c>
    </row>
    <row r="175" spans="15:16" x14ac:dyDescent="0.45">
      <c r="O175">
        <v>174</v>
      </c>
      <c r="P175" s="10">
        <v>562389.41060347389</v>
      </c>
    </row>
    <row r="176" spans="15:16" x14ac:dyDescent="0.45">
      <c r="O176">
        <v>175</v>
      </c>
      <c r="P176" s="10">
        <v>539231.60303255031</v>
      </c>
    </row>
    <row r="177" spans="15:16" x14ac:dyDescent="0.45">
      <c r="O177">
        <v>176</v>
      </c>
      <c r="P177" s="10">
        <v>559130.73396996874</v>
      </c>
    </row>
    <row r="178" spans="15:16" x14ac:dyDescent="0.45">
      <c r="O178">
        <v>177</v>
      </c>
      <c r="P178" s="10">
        <v>561268.14497843012</v>
      </c>
    </row>
    <row r="179" spans="15:16" x14ac:dyDescent="0.45">
      <c r="O179">
        <v>178</v>
      </c>
      <c r="P179" s="10">
        <v>576243.0007585492</v>
      </c>
    </row>
    <row r="180" spans="15:16" x14ac:dyDescent="0.45">
      <c r="O180">
        <v>179</v>
      </c>
      <c r="P180" s="10">
        <v>563734.85928021173</v>
      </c>
    </row>
    <row r="181" spans="15:16" x14ac:dyDescent="0.45">
      <c r="O181">
        <v>180</v>
      </c>
      <c r="P181" s="10">
        <v>586909.97826760332</v>
      </c>
    </row>
    <row r="182" spans="15:16" x14ac:dyDescent="0.45">
      <c r="O182">
        <v>181</v>
      </c>
      <c r="P182" s="10">
        <v>559339.80054883612</v>
      </c>
    </row>
    <row r="183" spans="15:16" x14ac:dyDescent="0.45">
      <c r="O183">
        <v>182</v>
      </c>
      <c r="P183" s="10">
        <v>552132.98046413227</v>
      </c>
    </row>
    <row r="184" spans="15:16" x14ac:dyDescent="0.45">
      <c r="O184">
        <v>183</v>
      </c>
      <c r="P184" s="10">
        <v>562297.43392067577</v>
      </c>
    </row>
    <row r="185" spans="15:16" x14ac:dyDescent="0.45">
      <c r="O185">
        <v>184</v>
      </c>
      <c r="P185" s="10">
        <v>582967.09040520084</v>
      </c>
    </row>
    <row r="186" spans="15:16" x14ac:dyDescent="0.45">
      <c r="O186">
        <v>185</v>
      </c>
      <c r="P186" s="10">
        <v>558078.00995300582</v>
      </c>
    </row>
    <row r="187" spans="15:16" x14ac:dyDescent="0.45">
      <c r="O187">
        <v>186</v>
      </c>
      <c r="P187" s="10">
        <v>552210.09167605743</v>
      </c>
    </row>
    <row r="188" spans="15:16" x14ac:dyDescent="0.45">
      <c r="O188">
        <v>187</v>
      </c>
      <c r="P188" s="10">
        <v>562534.28830342565</v>
      </c>
    </row>
    <row r="189" spans="15:16" x14ac:dyDescent="0.45">
      <c r="O189">
        <v>188</v>
      </c>
      <c r="P189" s="10">
        <v>560849.73864318745</v>
      </c>
    </row>
    <row r="190" spans="15:16" x14ac:dyDescent="0.45">
      <c r="O190">
        <v>189</v>
      </c>
      <c r="P190" s="10">
        <v>560046.15376587736</v>
      </c>
    </row>
    <row r="191" spans="15:16" x14ac:dyDescent="0.45">
      <c r="O191">
        <v>190</v>
      </c>
      <c r="P191" s="10">
        <v>558801.83503180661</v>
      </c>
    </row>
    <row r="192" spans="15:16" x14ac:dyDescent="0.45">
      <c r="O192">
        <v>191</v>
      </c>
      <c r="P192" s="10">
        <v>572795.34859892924</v>
      </c>
    </row>
    <row r="193" spans="15:16" x14ac:dyDescent="0.45">
      <c r="O193">
        <v>192</v>
      </c>
      <c r="P193" s="10">
        <v>555114.15684274037</v>
      </c>
    </row>
    <row r="194" spans="15:16" x14ac:dyDescent="0.45">
      <c r="O194">
        <v>193</v>
      </c>
      <c r="P194" s="10">
        <v>544319.28737927985</v>
      </c>
    </row>
    <row r="195" spans="15:16" x14ac:dyDescent="0.45">
      <c r="O195">
        <v>194</v>
      </c>
      <c r="P195" s="10">
        <v>559027.25375530717</v>
      </c>
    </row>
    <row r="196" spans="15:16" x14ac:dyDescent="0.45">
      <c r="O196">
        <v>195</v>
      </c>
      <c r="P196" s="10">
        <v>562917.87875115522</v>
      </c>
    </row>
    <row r="197" spans="15:16" x14ac:dyDescent="0.45">
      <c r="O197">
        <v>196</v>
      </c>
      <c r="P197" s="10">
        <v>558933.39749728108</v>
      </c>
    </row>
    <row r="198" spans="15:16" x14ac:dyDescent="0.45">
      <c r="O198">
        <v>197</v>
      </c>
      <c r="P198" s="10">
        <v>578877.30431617727</v>
      </c>
    </row>
    <row r="199" spans="15:16" x14ac:dyDescent="0.45">
      <c r="O199">
        <v>198</v>
      </c>
      <c r="P199" s="10">
        <v>567884.86768314918</v>
      </c>
    </row>
    <row r="200" spans="15:16" x14ac:dyDescent="0.45">
      <c r="O200">
        <v>199</v>
      </c>
      <c r="P200" s="10">
        <v>553808.29825659248</v>
      </c>
    </row>
    <row r="201" spans="15:16" x14ac:dyDescent="0.45">
      <c r="O201">
        <v>200</v>
      </c>
      <c r="P201" s="10">
        <v>565469.91563604912</v>
      </c>
    </row>
    <row r="202" spans="15:16" x14ac:dyDescent="0.45">
      <c r="O202">
        <v>201</v>
      </c>
      <c r="P202" s="10">
        <v>538898.63379927049</v>
      </c>
    </row>
    <row r="203" spans="15:16" x14ac:dyDescent="0.45">
      <c r="O203">
        <v>202</v>
      </c>
      <c r="P203" s="10">
        <v>566509.1134352613</v>
      </c>
    </row>
    <row r="204" spans="15:16" x14ac:dyDescent="0.45">
      <c r="O204">
        <v>203</v>
      </c>
      <c r="P204" s="10">
        <v>561536.91126778245</v>
      </c>
    </row>
    <row r="205" spans="15:16" x14ac:dyDescent="0.45">
      <c r="O205">
        <v>204</v>
      </c>
      <c r="P205" s="10">
        <v>543328.0477263272</v>
      </c>
    </row>
    <row r="206" spans="15:16" x14ac:dyDescent="0.45">
      <c r="O206">
        <v>205</v>
      </c>
      <c r="P206" s="10">
        <v>526930.82873302675</v>
      </c>
    </row>
    <row r="207" spans="15:16" x14ac:dyDescent="0.45">
      <c r="O207">
        <v>206</v>
      </c>
      <c r="P207" s="10">
        <v>556883.46129766817</v>
      </c>
    </row>
    <row r="208" spans="15:16" x14ac:dyDescent="0.45">
      <c r="O208">
        <v>207</v>
      </c>
      <c r="P208" s="10">
        <v>553435.32716502249</v>
      </c>
    </row>
    <row r="209" spans="15:16" x14ac:dyDescent="0.45">
      <c r="O209">
        <v>208</v>
      </c>
      <c r="P209" s="10">
        <v>552008.86097860476</v>
      </c>
    </row>
    <row r="210" spans="15:16" x14ac:dyDescent="0.45">
      <c r="O210">
        <v>209</v>
      </c>
      <c r="P210" s="10">
        <v>567190.3656708654</v>
      </c>
    </row>
    <row r="211" spans="15:16" x14ac:dyDescent="0.45">
      <c r="O211">
        <v>210</v>
      </c>
      <c r="P211" s="10">
        <v>578838.89880726754</v>
      </c>
    </row>
    <row r="212" spans="15:16" x14ac:dyDescent="0.45">
      <c r="O212">
        <v>211</v>
      </c>
      <c r="P212" s="10">
        <v>564972.98817597353</v>
      </c>
    </row>
    <row r="213" spans="15:16" x14ac:dyDescent="0.45">
      <c r="O213">
        <v>212</v>
      </c>
      <c r="P213" s="10">
        <v>554638.41138275072</v>
      </c>
    </row>
    <row r="214" spans="15:16" x14ac:dyDescent="0.45">
      <c r="O214">
        <v>213</v>
      </c>
      <c r="P214" s="10">
        <v>542543.33095013245</v>
      </c>
    </row>
    <row r="215" spans="15:16" x14ac:dyDescent="0.45">
      <c r="O215">
        <v>214</v>
      </c>
      <c r="P215" s="10">
        <v>570615.39011323545</v>
      </c>
    </row>
    <row r="216" spans="15:16" x14ac:dyDescent="0.45">
      <c r="O216">
        <v>215</v>
      </c>
      <c r="P216" s="10">
        <v>559250.43571679899</v>
      </c>
    </row>
    <row r="217" spans="15:16" x14ac:dyDescent="0.45">
      <c r="O217">
        <v>216</v>
      </c>
      <c r="P217" s="10">
        <v>532307.76000307431</v>
      </c>
    </row>
    <row r="218" spans="15:16" x14ac:dyDescent="0.45">
      <c r="O218">
        <v>217</v>
      </c>
      <c r="P218" s="10">
        <v>575589.94192498201</v>
      </c>
    </row>
    <row r="219" spans="15:16" x14ac:dyDescent="0.45">
      <c r="O219">
        <v>218</v>
      </c>
      <c r="P219" s="10">
        <v>569184.80899386737</v>
      </c>
    </row>
    <row r="220" spans="15:16" x14ac:dyDescent="0.45">
      <c r="O220">
        <v>219</v>
      </c>
      <c r="P220" s="10">
        <v>540617.97364646324</v>
      </c>
    </row>
    <row r="221" spans="15:16" x14ac:dyDescent="0.45">
      <c r="O221">
        <v>220</v>
      </c>
      <c r="P221" s="10">
        <v>564522.14494313323</v>
      </c>
    </row>
    <row r="222" spans="15:16" x14ac:dyDescent="0.45">
      <c r="O222">
        <v>221</v>
      </c>
      <c r="P222" s="10">
        <v>558452.73184676922</v>
      </c>
    </row>
    <row r="223" spans="15:16" x14ac:dyDescent="0.45">
      <c r="O223">
        <v>222</v>
      </c>
      <c r="P223" s="10">
        <v>570563.46085631638</v>
      </c>
    </row>
    <row r="224" spans="15:16" x14ac:dyDescent="0.45">
      <c r="O224">
        <v>223</v>
      </c>
      <c r="P224" s="10">
        <v>534793.4989576909</v>
      </c>
    </row>
    <row r="225" spans="15:16" x14ac:dyDescent="0.45">
      <c r="O225">
        <v>224</v>
      </c>
      <c r="P225" s="10">
        <v>541688.0252797734</v>
      </c>
    </row>
    <row r="226" spans="15:16" x14ac:dyDescent="0.45">
      <c r="O226">
        <v>225</v>
      </c>
      <c r="P226" s="10">
        <v>543476.40600754984</v>
      </c>
    </row>
    <row r="227" spans="15:16" x14ac:dyDescent="0.45">
      <c r="O227">
        <v>226</v>
      </c>
      <c r="P227" s="10">
        <v>543256.04549764108</v>
      </c>
    </row>
    <row r="228" spans="15:16" x14ac:dyDescent="0.45">
      <c r="O228">
        <v>227</v>
      </c>
      <c r="P228" s="10">
        <v>563026.37257715617</v>
      </c>
    </row>
    <row r="229" spans="15:16" x14ac:dyDescent="0.45">
      <c r="O229">
        <v>228</v>
      </c>
      <c r="P229" s="10">
        <v>557474.56129493657</v>
      </c>
    </row>
    <row r="230" spans="15:16" x14ac:dyDescent="0.45">
      <c r="O230">
        <v>229</v>
      </c>
      <c r="P230" s="10">
        <v>579534.95821826207</v>
      </c>
    </row>
    <row r="231" spans="15:16" x14ac:dyDescent="0.45">
      <c r="O231">
        <v>230</v>
      </c>
      <c r="P231" s="10">
        <v>549357.52189510001</v>
      </c>
    </row>
    <row r="232" spans="15:16" x14ac:dyDescent="0.45">
      <c r="O232">
        <v>231</v>
      </c>
      <c r="P232" s="10">
        <v>569342.75853995851</v>
      </c>
    </row>
    <row r="233" spans="15:16" x14ac:dyDescent="0.45">
      <c r="O233">
        <v>232</v>
      </c>
      <c r="P233" s="10">
        <v>551861.28688979731</v>
      </c>
    </row>
    <row r="234" spans="15:16" x14ac:dyDescent="0.45">
      <c r="O234">
        <v>233</v>
      </c>
      <c r="P234" s="10">
        <v>570340.61100168666</v>
      </c>
    </row>
    <row r="235" spans="15:16" x14ac:dyDescent="0.45">
      <c r="O235">
        <v>234</v>
      </c>
      <c r="P235" s="10">
        <v>569038.48486840189</v>
      </c>
    </row>
    <row r="236" spans="15:16" x14ac:dyDescent="0.45">
      <c r="O236">
        <v>235</v>
      </c>
      <c r="P236" s="10">
        <v>562159.57398549165</v>
      </c>
    </row>
    <row r="237" spans="15:16" x14ac:dyDescent="0.45">
      <c r="O237">
        <v>236</v>
      </c>
      <c r="P237" s="10">
        <v>555753.74144106242</v>
      </c>
    </row>
    <row r="238" spans="15:16" x14ac:dyDescent="0.45">
      <c r="O238">
        <v>237</v>
      </c>
      <c r="P238" s="10">
        <v>569197.19338266761</v>
      </c>
    </row>
    <row r="239" spans="15:16" x14ac:dyDescent="0.45">
      <c r="O239">
        <v>238</v>
      </c>
      <c r="P239" s="10">
        <v>571224.90278672066</v>
      </c>
    </row>
    <row r="240" spans="15:16" x14ac:dyDescent="0.45">
      <c r="O240">
        <v>239</v>
      </c>
      <c r="P240" s="10">
        <v>567791.84193381655</v>
      </c>
    </row>
    <row r="241" spans="15:16" x14ac:dyDescent="0.45">
      <c r="O241">
        <v>240</v>
      </c>
      <c r="P241" s="10">
        <v>555262.71860439016</v>
      </c>
    </row>
    <row r="242" spans="15:16" x14ac:dyDescent="0.45">
      <c r="O242">
        <v>241</v>
      </c>
      <c r="P242" s="10">
        <v>560949.44503186469</v>
      </c>
    </row>
    <row r="243" spans="15:16" x14ac:dyDescent="0.45">
      <c r="O243">
        <v>242</v>
      </c>
      <c r="P243" s="10">
        <v>576798.83747798973</v>
      </c>
    </row>
    <row r="244" spans="15:16" x14ac:dyDescent="0.45">
      <c r="O244">
        <v>243</v>
      </c>
      <c r="P244" s="10">
        <v>567316.61237831763</v>
      </c>
    </row>
    <row r="245" spans="15:16" x14ac:dyDescent="0.45">
      <c r="O245">
        <v>244</v>
      </c>
      <c r="P245" s="10">
        <v>573077.85103237152</v>
      </c>
    </row>
    <row r="246" spans="15:16" x14ac:dyDescent="0.45">
      <c r="O246">
        <v>245</v>
      </c>
      <c r="P246" s="10">
        <v>564786.66974598402</v>
      </c>
    </row>
    <row r="247" spans="15:16" x14ac:dyDescent="0.45">
      <c r="O247">
        <v>246</v>
      </c>
      <c r="P247" s="10">
        <v>554776.0552081638</v>
      </c>
    </row>
    <row r="248" spans="15:16" x14ac:dyDescent="0.45">
      <c r="O248">
        <v>247</v>
      </c>
      <c r="P248" s="10">
        <v>540175.33787869744</v>
      </c>
    </row>
    <row r="249" spans="15:16" x14ac:dyDescent="0.45">
      <c r="O249">
        <v>248</v>
      </c>
      <c r="P249" s="10">
        <v>575516.65464930772</v>
      </c>
    </row>
    <row r="250" spans="15:16" x14ac:dyDescent="0.45">
      <c r="O250">
        <v>249</v>
      </c>
      <c r="P250" s="10">
        <v>563218.27752692986</v>
      </c>
    </row>
    <row r="251" spans="15:16" x14ac:dyDescent="0.45">
      <c r="O251">
        <v>250</v>
      </c>
      <c r="P251" s="10">
        <v>573636.57064571907</v>
      </c>
    </row>
    <row r="252" spans="15:16" x14ac:dyDescent="0.45">
      <c r="O252">
        <v>251</v>
      </c>
      <c r="P252" s="10">
        <v>549542.39964098367</v>
      </c>
    </row>
    <row r="253" spans="15:16" x14ac:dyDescent="0.45">
      <c r="O253">
        <v>252</v>
      </c>
      <c r="P253" s="10">
        <v>563886.62192182138</v>
      </c>
    </row>
    <row r="254" spans="15:16" x14ac:dyDescent="0.45">
      <c r="O254">
        <v>253</v>
      </c>
      <c r="P254" s="10">
        <v>555300.39468752174</v>
      </c>
    </row>
    <row r="255" spans="15:16" x14ac:dyDescent="0.45">
      <c r="O255">
        <v>254</v>
      </c>
      <c r="P255" s="10">
        <v>568843.31612369313</v>
      </c>
    </row>
    <row r="256" spans="15:16" x14ac:dyDescent="0.45">
      <c r="O256">
        <v>255</v>
      </c>
      <c r="P256" s="10">
        <v>560098.23072379024</v>
      </c>
    </row>
    <row r="257" spans="15:16" x14ac:dyDescent="0.45">
      <c r="O257">
        <v>256</v>
      </c>
      <c r="P257" s="10">
        <v>586530.14685362612</v>
      </c>
    </row>
    <row r="258" spans="15:16" x14ac:dyDescent="0.45">
      <c r="O258">
        <v>257</v>
      </c>
      <c r="P258" s="10">
        <v>571987.40394584858</v>
      </c>
    </row>
    <row r="259" spans="15:16" x14ac:dyDescent="0.45">
      <c r="O259">
        <v>258</v>
      </c>
      <c r="P259" s="10">
        <v>565680.51281408942</v>
      </c>
    </row>
    <row r="260" spans="15:16" x14ac:dyDescent="0.45">
      <c r="O260">
        <v>259</v>
      </c>
      <c r="P260" s="10">
        <v>559519.77592198073</v>
      </c>
    </row>
    <row r="261" spans="15:16" x14ac:dyDescent="0.45">
      <c r="O261">
        <v>260</v>
      </c>
      <c r="P261" s="10">
        <v>577656.63210749114</v>
      </c>
    </row>
    <row r="262" spans="15:16" x14ac:dyDescent="0.45">
      <c r="O262">
        <v>261</v>
      </c>
      <c r="P262" s="10">
        <v>563733.64508029353</v>
      </c>
    </row>
    <row r="263" spans="15:16" x14ac:dyDescent="0.45">
      <c r="O263">
        <v>262</v>
      </c>
      <c r="P263" s="10">
        <v>562819.52890517993</v>
      </c>
    </row>
    <row r="264" spans="15:16" x14ac:dyDescent="0.45">
      <c r="O264">
        <v>263</v>
      </c>
      <c r="P264" s="10">
        <v>551707.76073853532</v>
      </c>
    </row>
    <row r="265" spans="15:16" x14ac:dyDescent="0.45">
      <c r="O265">
        <v>264</v>
      </c>
      <c r="P265" s="10">
        <v>548051.64941059635</v>
      </c>
    </row>
    <row r="266" spans="15:16" x14ac:dyDescent="0.45">
      <c r="O266">
        <v>265</v>
      </c>
      <c r="P266" s="10">
        <v>555598.12901345291</v>
      </c>
    </row>
    <row r="267" spans="15:16" x14ac:dyDescent="0.45">
      <c r="O267">
        <v>266</v>
      </c>
      <c r="P267" s="10">
        <v>567125.06089717359</v>
      </c>
    </row>
    <row r="268" spans="15:16" x14ac:dyDescent="0.45">
      <c r="O268">
        <v>267</v>
      </c>
      <c r="P268" s="10">
        <v>554596.92262426473</v>
      </c>
    </row>
    <row r="269" spans="15:16" x14ac:dyDescent="0.45">
      <c r="O269">
        <v>268</v>
      </c>
      <c r="P269" s="10">
        <v>547548.07830662571</v>
      </c>
    </row>
    <row r="270" spans="15:16" x14ac:dyDescent="0.45">
      <c r="O270">
        <v>269</v>
      </c>
      <c r="P270" s="10">
        <v>560781.06663177954</v>
      </c>
    </row>
    <row r="271" spans="15:16" x14ac:dyDescent="0.45">
      <c r="O271">
        <v>270</v>
      </c>
      <c r="P271" s="10">
        <v>566002.43800089159</v>
      </c>
    </row>
    <row r="272" spans="15:16" x14ac:dyDescent="0.45">
      <c r="O272">
        <v>271</v>
      </c>
      <c r="P272" s="10">
        <v>559774.45625941327</v>
      </c>
    </row>
    <row r="273" spans="15:16" x14ac:dyDescent="0.45">
      <c r="O273">
        <v>272</v>
      </c>
      <c r="P273" s="10">
        <v>561557.56351059512</v>
      </c>
    </row>
    <row r="274" spans="15:16" x14ac:dyDescent="0.45">
      <c r="O274">
        <v>273</v>
      </c>
      <c r="P274" s="10">
        <v>562316.96110466484</v>
      </c>
    </row>
    <row r="275" spans="15:16" x14ac:dyDescent="0.45">
      <c r="O275">
        <v>274</v>
      </c>
      <c r="P275" s="10">
        <v>551952.83766113629</v>
      </c>
    </row>
    <row r="276" spans="15:16" x14ac:dyDescent="0.45">
      <c r="O276">
        <v>275</v>
      </c>
      <c r="P276" s="10">
        <v>544996.98445125157</v>
      </c>
    </row>
    <row r="277" spans="15:16" x14ac:dyDescent="0.45">
      <c r="O277">
        <v>276</v>
      </c>
      <c r="P277" s="10">
        <v>552707.95590180357</v>
      </c>
    </row>
    <row r="278" spans="15:16" x14ac:dyDescent="0.45">
      <c r="O278">
        <v>277</v>
      </c>
      <c r="P278" s="10">
        <v>551231.69903754094</v>
      </c>
    </row>
    <row r="279" spans="15:16" x14ac:dyDescent="0.45">
      <c r="O279">
        <v>278</v>
      </c>
      <c r="P279" s="10">
        <v>546540.68145094602</v>
      </c>
    </row>
    <row r="280" spans="15:16" x14ac:dyDescent="0.45">
      <c r="O280">
        <v>279</v>
      </c>
      <c r="P280" s="10">
        <v>580092.68423647864</v>
      </c>
    </row>
    <row r="281" spans="15:16" x14ac:dyDescent="0.45">
      <c r="O281">
        <v>280</v>
      </c>
      <c r="P281" s="10">
        <v>545472.59599744657</v>
      </c>
    </row>
    <row r="282" spans="15:16" x14ac:dyDescent="0.45">
      <c r="O282">
        <v>281</v>
      </c>
      <c r="P282" s="10">
        <v>547287.72770858137</v>
      </c>
    </row>
    <row r="283" spans="15:16" x14ac:dyDescent="0.45">
      <c r="O283">
        <v>282</v>
      </c>
      <c r="P283" s="10">
        <v>575647.63102483866</v>
      </c>
    </row>
    <row r="284" spans="15:16" x14ac:dyDescent="0.45">
      <c r="O284">
        <v>283</v>
      </c>
      <c r="P284" s="10">
        <v>553522.7816501807</v>
      </c>
    </row>
    <row r="285" spans="15:16" x14ac:dyDescent="0.45">
      <c r="O285">
        <v>284</v>
      </c>
      <c r="P285" s="10">
        <v>552010.55361322919</v>
      </c>
    </row>
    <row r="286" spans="15:16" x14ac:dyDescent="0.45">
      <c r="O286">
        <v>285</v>
      </c>
      <c r="P286" s="10">
        <v>552765.03134726256</v>
      </c>
    </row>
    <row r="287" spans="15:16" x14ac:dyDescent="0.45">
      <c r="O287">
        <v>286</v>
      </c>
      <c r="P287" s="10">
        <v>559760.20064820268</v>
      </c>
    </row>
    <row r="288" spans="15:16" x14ac:dyDescent="0.45">
      <c r="O288">
        <v>287</v>
      </c>
      <c r="P288" s="10">
        <v>562410.93303507718</v>
      </c>
    </row>
    <row r="289" spans="15:16" x14ac:dyDescent="0.45">
      <c r="O289">
        <v>288</v>
      </c>
      <c r="P289" s="10">
        <v>563732.14851152792</v>
      </c>
    </row>
    <row r="290" spans="15:16" x14ac:dyDescent="0.45">
      <c r="O290">
        <v>289</v>
      </c>
      <c r="P290" s="10">
        <v>564821.02986814908</v>
      </c>
    </row>
    <row r="291" spans="15:16" x14ac:dyDescent="0.45">
      <c r="O291">
        <v>290</v>
      </c>
      <c r="P291" s="10">
        <v>549003.64521105471</v>
      </c>
    </row>
    <row r="292" spans="15:16" x14ac:dyDescent="0.45">
      <c r="O292">
        <v>291</v>
      </c>
      <c r="P292" s="10">
        <v>556152.11463107425</v>
      </c>
    </row>
    <row r="293" spans="15:16" x14ac:dyDescent="0.45">
      <c r="O293">
        <v>292</v>
      </c>
      <c r="P293" s="10">
        <v>563153.85320359224</v>
      </c>
    </row>
    <row r="294" spans="15:16" x14ac:dyDescent="0.45">
      <c r="O294">
        <v>293</v>
      </c>
      <c r="P294" s="10">
        <v>562496.87393106078</v>
      </c>
    </row>
    <row r="295" spans="15:16" x14ac:dyDescent="0.45">
      <c r="O295">
        <v>294</v>
      </c>
      <c r="P295" s="10">
        <v>575079.43972696341</v>
      </c>
    </row>
    <row r="296" spans="15:16" x14ac:dyDescent="0.45">
      <c r="O296">
        <v>295</v>
      </c>
      <c r="P296" s="10">
        <v>545033.17126249988</v>
      </c>
    </row>
    <row r="297" spans="15:16" x14ac:dyDescent="0.45">
      <c r="O297">
        <v>296</v>
      </c>
      <c r="P297" s="10">
        <v>550166.11324993719</v>
      </c>
    </row>
    <row r="298" spans="15:16" x14ac:dyDescent="0.45">
      <c r="O298">
        <v>297</v>
      </c>
      <c r="P298" s="10">
        <v>570559.20881068835</v>
      </c>
    </row>
    <row r="299" spans="15:16" x14ac:dyDescent="0.45">
      <c r="O299">
        <v>298</v>
      </c>
      <c r="P299" s="10">
        <v>534468.44038142799</v>
      </c>
    </row>
    <row r="300" spans="15:16" x14ac:dyDescent="0.45">
      <c r="O300">
        <v>299</v>
      </c>
      <c r="P300" s="10">
        <v>564253.98810988397</v>
      </c>
    </row>
    <row r="301" spans="15:16" x14ac:dyDescent="0.45">
      <c r="O301">
        <v>300</v>
      </c>
      <c r="P301" s="10">
        <v>549139.14098399575</v>
      </c>
    </row>
    <row r="302" spans="15:16" x14ac:dyDescent="0.45">
      <c r="O302">
        <v>301</v>
      </c>
      <c r="P302" s="10">
        <v>547994.02698170161</v>
      </c>
    </row>
    <row r="303" spans="15:16" x14ac:dyDescent="0.45">
      <c r="O303">
        <v>302</v>
      </c>
      <c r="P303" s="10">
        <v>560748.62936571403</v>
      </c>
    </row>
    <row r="304" spans="15:16" x14ac:dyDescent="0.45">
      <c r="O304">
        <v>303</v>
      </c>
      <c r="P304" s="10">
        <v>584205.89830249758</v>
      </c>
    </row>
    <row r="305" spans="15:16" x14ac:dyDescent="0.45">
      <c r="O305">
        <v>304</v>
      </c>
      <c r="P305" s="10">
        <v>573520.77393298259</v>
      </c>
    </row>
    <row r="306" spans="15:16" x14ac:dyDescent="0.45">
      <c r="O306">
        <v>305</v>
      </c>
      <c r="P306" s="10">
        <v>552400.16665309446</v>
      </c>
    </row>
    <row r="307" spans="15:16" x14ac:dyDescent="0.45">
      <c r="O307">
        <v>306</v>
      </c>
      <c r="P307" s="10">
        <v>559283.56115666311</v>
      </c>
    </row>
    <row r="308" spans="15:16" x14ac:dyDescent="0.45">
      <c r="O308">
        <v>307</v>
      </c>
      <c r="P308" s="10">
        <v>555037.33391982014</v>
      </c>
    </row>
    <row r="309" spans="15:16" x14ac:dyDescent="0.45">
      <c r="O309">
        <v>308</v>
      </c>
      <c r="P309" s="10">
        <v>560358.92848560738</v>
      </c>
    </row>
    <row r="310" spans="15:16" x14ac:dyDescent="0.45">
      <c r="O310">
        <v>309</v>
      </c>
      <c r="P310" s="10">
        <v>569817.95457102545</v>
      </c>
    </row>
    <row r="311" spans="15:16" x14ac:dyDescent="0.45">
      <c r="O311">
        <v>310</v>
      </c>
      <c r="P311" s="10">
        <v>588631.29369780258</v>
      </c>
    </row>
    <row r="312" spans="15:16" x14ac:dyDescent="0.45">
      <c r="O312">
        <v>311</v>
      </c>
      <c r="P312" s="10">
        <v>570198.74948024971</v>
      </c>
    </row>
    <row r="313" spans="15:16" x14ac:dyDescent="0.45">
      <c r="O313">
        <v>312</v>
      </c>
      <c r="P313" s="10">
        <v>572719.10861270886</v>
      </c>
    </row>
    <row r="314" spans="15:16" x14ac:dyDescent="0.45">
      <c r="O314">
        <v>313</v>
      </c>
      <c r="P314" s="10">
        <v>557625.2775466647</v>
      </c>
    </row>
    <row r="315" spans="15:16" x14ac:dyDescent="0.45">
      <c r="O315">
        <v>314</v>
      </c>
      <c r="P315" s="10">
        <v>569407.73410232249</v>
      </c>
    </row>
    <row r="316" spans="15:16" x14ac:dyDescent="0.45">
      <c r="O316">
        <v>315</v>
      </c>
      <c r="P316" s="10">
        <v>559432.57876614679</v>
      </c>
    </row>
    <row r="317" spans="15:16" x14ac:dyDescent="0.45">
      <c r="O317">
        <v>316</v>
      </c>
      <c r="P317" s="10">
        <v>572818.94734226097</v>
      </c>
    </row>
    <row r="318" spans="15:16" x14ac:dyDescent="0.45">
      <c r="O318">
        <v>317</v>
      </c>
      <c r="P318" s="10">
        <v>541255.41710092046</v>
      </c>
    </row>
    <row r="319" spans="15:16" x14ac:dyDescent="0.45">
      <c r="O319">
        <v>318</v>
      </c>
      <c r="P319" s="10">
        <v>584568.33454095758</v>
      </c>
    </row>
    <row r="320" spans="15:16" x14ac:dyDescent="0.45">
      <c r="O320">
        <v>319</v>
      </c>
      <c r="P320" s="10">
        <v>561707.83404876466</v>
      </c>
    </row>
    <row r="321" spans="15:16" x14ac:dyDescent="0.45">
      <c r="O321">
        <v>320</v>
      </c>
      <c r="P321" s="10">
        <v>572549.615241869</v>
      </c>
    </row>
    <row r="322" spans="15:16" x14ac:dyDescent="0.45">
      <c r="O322">
        <v>321</v>
      </c>
      <c r="P322" s="10">
        <v>547291.93577416951</v>
      </c>
    </row>
    <row r="323" spans="15:16" x14ac:dyDescent="0.45">
      <c r="O323">
        <v>322</v>
      </c>
      <c r="P323" s="10">
        <v>561189.52072930394</v>
      </c>
    </row>
    <row r="324" spans="15:16" x14ac:dyDescent="0.45">
      <c r="O324">
        <v>323</v>
      </c>
      <c r="P324" s="10">
        <v>546901.87056786858</v>
      </c>
    </row>
    <row r="325" spans="15:16" x14ac:dyDescent="0.45">
      <c r="O325">
        <v>324</v>
      </c>
      <c r="P325" s="10">
        <v>545196.40658517403</v>
      </c>
    </row>
    <row r="326" spans="15:16" x14ac:dyDescent="0.45">
      <c r="O326">
        <v>325</v>
      </c>
      <c r="P326" s="10">
        <v>551841.27065520058</v>
      </c>
    </row>
    <row r="327" spans="15:16" x14ac:dyDescent="0.45">
      <c r="O327">
        <v>326</v>
      </c>
      <c r="P327" s="10">
        <v>558965.83113179833</v>
      </c>
    </row>
    <row r="328" spans="15:16" x14ac:dyDescent="0.45">
      <c r="O328">
        <v>327</v>
      </c>
      <c r="P328" s="10">
        <v>564491.74364033889</v>
      </c>
    </row>
    <row r="329" spans="15:16" x14ac:dyDescent="0.45">
      <c r="O329">
        <v>328</v>
      </c>
      <c r="P329" s="10">
        <v>560825.76265455317</v>
      </c>
    </row>
    <row r="330" spans="15:16" x14ac:dyDescent="0.45">
      <c r="O330">
        <v>329</v>
      </c>
      <c r="P330" s="10">
        <v>562197.74398103228</v>
      </c>
    </row>
    <row r="331" spans="15:16" x14ac:dyDescent="0.45">
      <c r="O331">
        <v>330</v>
      </c>
      <c r="P331" s="10">
        <v>554796.88386973995</v>
      </c>
    </row>
    <row r="332" spans="15:16" x14ac:dyDescent="0.45">
      <c r="O332">
        <v>331</v>
      </c>
      <c r="P332" s="10">
        <v>554540.1076342056</v>
      </c>
    </row>
    <row r="333" spans="15:16" x14ac:dyDescent="0.45">
      <c r="O333">
        <v>332</v>
      </c>
      <c r="P333" s="10">
        <v>560314.76165204798</v>
      </c>
    </row>
    <row r="334" spans="15:16" x14ac:dyDescent="0.45">
      <c r="O334">
        <v>333</v>
      </c>
      <c r="P334" s="10">
        <v>549159.52424693329</v>
      </c>
    </row>
    <row r="335" spans="15:16" x14ac:dyDescent="0.45">
      <c r="O335">
        <v>334</v>
      </c>
      <c r="P335" s="10">
        <v>529244.27189345763</v>
      </c>
    </row>
    <row r="336" spans="15:16" x14ac:dyDescent="0.45">
      <c r="O336">
        <v>335</v>
      </c>
      <c r="P336" s="10">
        <v>549266.1321884786</v>
      </c>
    </row>
    <row r="337" spans="15:16" x14ac:dyDescent="0.45">
      <c r="O337">
        <v>336</v>
      </c>
      <c r="P337" s="10">
        <v>545484.53395797266</v>
      </c>
    </row>
    <row r="338" spans="15:16" x14ac:dyDescent="0.45">
      <c r="O338">
        <v>337</v>
      </c>
      <c r="P338" s="10">
        <v>568217.07833737263</v>
      </c>
    </row>
    <row r="339" spans="15:16" x14ac:dyDescent="0.45">
      <c r="O339">
        <v>338</v>
      </c>
      <c r="P339" s="10">
        <v>580411.36056167656</v>
      </c>
    </row>
    <row r="340" spans="15:16" x14ac:dyDescent="0.45">
      <c r="O340">
        <v>339</v>
      </c>
      <c r="P340" s="10">
        <v>594407.20341330743</v>
      </c>
    </row>
    <row r="341" spans="15:16" x14ac:dyDescent="0.45">
      <c r="O341">
        <v>340</v>
      </c>
      <c r="P341" s="10">
        <v>565751.3046012196</v>
      </c>
    </row>
    <row r="342" spans="15:16" x14ac:dyDescent="0.45">
      <c r="O342">
        <v>341</v>
      </c>
      <c r="P342" s="10">
        <v>553759.92782231874</v>
      </c>
    </row>
    <row r="343" spans="15:16" x14ac:dyDescent="0.45">
      <c r="O343">
        <v>342</v>
      </c>
      <c r="P343" s="10">
        <v>555639.71613746416</v>
      </c>
    </row>
    <row r="344" spans="15:16" x14ac:dyDescent="0.45">
      <c r="O344">
        <v>343</v>
      </c>
      <c r="P344" s="10">
        <v>567858.82335089997</v>
      </c>
    </row>
    <row r="345" spans="15:16" x14ac:dyDescent="0.45">
      <c r="O345">
        <v>344</v>
      </c>
      <c r="P345" s="10">
        <v>572153.46919228055</v>
      </c>
    </row>
    <row r="346" spans="15:16" x14ac:dyDescent="0.45">
      <c r="O346">
        <v>345</v>
      </c>
      <c r="P346" s="10">
        <v>567504.81157242483</v>
      </c>
    </row>
    <row r="347" spans="15:16" x14ac:dyDescent="0.45">
      <c r="O347">
        <v>346</v>
      </c>
      <c r="P347" s="10">
        <v>561735.83511664812</v>
      </c>
    </row>
    <row r="348" spans="15:16" x14ac:dyDescent="0.45">
      <c r="O348">
        <v>347</v>
      </c>
      <c r="P348" s="10">
        <v>548644.11099644203</v>
      </c>
    </row>
    <row r="349" spans="15:16" x14ac:dyDescent="0.45">
      <c r="O349">
        <v>348</v>
      </c>
      <c r="P349" s="10">
        <v>539686.95361327613</v>
      </c>
    </row>
    <row r="350" spans="15:16" x14ac:dyDescent="0.45">
      <c r="O350">
        <v>349</v>
      </c>
      <c r="P350" s="10">
        <v>542734.59289200662</v>
      </c>
    </row>
    <row r="351" spans="15:16" x14ac:dyDescent="0.45">
      <c r="O351">
        <v>350</v>
      </c>
      <c r="P351" s="10">
        <v>559929.7976500236</v>
      </c>
    </row>
    <row r="352" spans="15:16" x14ac:dyDescent="0.45">
      <c r="O352">
        <v>351</v>
      </c>
      <c r="P352" s="10">
        <v>572477.00609371008</v>
      </c>
    </row>
    <row r="353" spans="15:16" x14ac:dyDescent="0.45">
      <c r="O353">
        <v>352</v>
      </c>
      <c r="P353" s="10">
        <v>587243.55697361159</v>
      </c>
    </row>
    <row r="354" spans="15:16" x14ac:dyDescent="0.45">
      <c r="O354">
        <v>353</v>
      </c>
      <c r="P354" s="10">
        <v>559781.40854973404</v>
      </c>
    </row>
    <row r="355" spans="15:16" x14ac:dyDescent="0.45">
      <c r="O355">
        <v>354</v>
      </c>
      <c r="P355" s="10">
        <v>569245.28989334893</v>
      </c>
    </row>
    <row r="356" spans="15:16" x14ac:dyDescent="0.45">
      <c r="O356">
        <v>355</v>
      </c>
      <c r="P356" s="10">
        <v>555505.04315528367</v>
      </c>
    </row>
    <row r="357" spans="15:16" x14ac:dyDescent="0.45">
      <c r="O357">
        <v>356</v>
      </c>
      <c r="P357" s="10">
        <v>560770.20627817814</v>
      </c>
    </row>
    <row r="358" spans="15:16" x14ac:dyDescent="0.45">
      <c r="O358">
        <v>357</v>
      </c>
      <c r="P358" s="10">
        <v>580835.97276791476</v>
      </c>
    </row>
    <row r="359" spans="15:16" x14ac:dyDescent="0.45">
      <c r="O359">
        <v>358</v>
      </c>
      <c r="P359" s="10">
        <v>577839.09453004517</v>
      </c>
    </row>
    <row r="360" spans="15:16" x14ac:dyDescent="0.45">
      <c r="O360">
        <v>359</v>
      </c>
      <c r="P360" s="10">
        <v>537666.93803086982</v>
      </c>
    </row>
    <row r="361" spans="15:16" x14ac:dyDescent="0.45">
      <c r="O361">
        <v>360</v>
      </c>
      <c r="P361" s="10">
        <v>546320.74379869329</v>
      </c>
    </row>
    <row r="362" spans="15:16" x14ac:dyDescent="0.45">
      <c r="O362">
        <v>361</v>
      </c>
      <c r="P362" s="10">
        <v>532130.65945946169</v>
      </c>
    </row>
    <row r="363" spans="15:16" x14ac:dyDescent="0.45">
      <c r="O363">
        <v>362</v>
      </c>
      <c r="P363" s="10">
        <v>546272.38566707331</v>
      </c>
    </row>
    <row r="364" spans="15:16" x14ac:dyDescent="0.45">
      <c r="O364">
        <v>363</v>
      </c>
      <c r="P364" s="10">
        <v>566736.22104703647</v>
      </c>
    </row>
    <row r="365" spans="15:16" x14ac:dyDescent="0.45">
      <c r="O365">
        <v>364</v>
      </c>
      <c r="P365" s="10">
        <v>540555.08993033157</v>
      </c>
    </row>
    <row r="366" spans="15:16" x14ac:dyDescent="0.45">
      <c r="O366">
        <v>365</v>
      </c>
      <c r="P366" s="10">
        <v>549859.32352025749</v>
      </c>
    </row>
    <row r="367" spans="15:16" x14ac:dyDescent="0.45">
      <c r="O367">
        <v>366</v>
      </c>
      <c r="P367" s="10">
        <v>577005.71349112154</v>
      </c>
    </row>
    <row r="368" spans="15:16" x14ac:dyDescent="0.45">
      <c r="O368">
        <v>367</v>
      </c>
      <c r="P368" s="10">
        <v>577084.58400845784</v>
      </c>
    </row>
    <row r="369" spans="15:16" x14ac:dyDescent="0.45">
      <c r="O369">
        <v>368</v>
      </c>
      <c r="P369" s="10">
        <v>536066.17944843904</v>
      </c>
    </row>
    <row r="370" spans="15:16" x14ac:dyDescent="0.45">
      <c r="O370">
        <v>369</v>
      </c>
      <c r="P370" s="10">
        <v>554104.30342598667</v>
      </c>
    </row>
    <row r="371" spans="15:16" x14ac:dyDescent="0.45">
      <c r="O371">
        <v>370</v>
      </c>
      <c r="P371" s="10">
        <v>548624.57365242974</v>
      </c>
    </row>
    <row r="372" spans="15:16" x14ac:dyDescent="0.45">
      <c r="O372">
        <v>371</v>
      </c>
      <c r="P372" s="10">
        <v>550137.50449881156</v>
      </c>
    </row>
    <row r="373" spans="15:16" x14ac:dyDescent="0.45">
      <c r="O373">
        <v>372</v>
      </c>
      <c r="P373" s="10">
        <v>577816.30198335729</v>
      </c>
    </row>
    <row r="374" spans="15:16" x14ac:dyDescent="0.45">
      <c r="O374">
        <v>373</v>
      </c>
      <c r="P374" s="10">
        <v>556563.12415564351</v>
      </c>
    </row>
    <row r="375" spans="15:16" x14ac:dyDescent="0.45">
      <c r="O375">
        <v>374</v>
      </c>
      <c r="P375" s="10">
        <v>559125.64351900062</v>
      </c>
    </row>
    <row r="376" spans="15:16" x14ac:dyDescent="0.45">
      <c r="O376">
        <v>375</v>
      </c>
      <c r="P376" s="10">
        <v>561224.78464374028</v>
      </c>
    </row>
    <row r="377" spans="15:16" x14ac:dyDescent="0.45">
      <c r="O377">
        <v>376</v>
      </c>
      <c r="P377" s="10">
        <v>577195.12322384387</v>
      </c>
    </row>
    <row r="378" spans="15:16" x14ac:dyDescent="0.45">
      <c r="O378">
        <v>377</v>
      </c>
      <c r="P378" s="10">
        <v>552797.28452150244</v>
      </c>
    </row>
    <row r="379" spans="15:16" x14ac:dyDescent="0.45">
      <c r="O379">
        <v>378</v>
      </c>
      <c r="P379" s="10">
        <v>558316.19448399637</v>
      </c>
    </row>
    <row r="380" spans="15:16" x14ac:dyDescent="0.45">
      <c r="O380">
        <v>379</v>
      </c>
      <c r="P380" s="10">
        <v>534619.20433219953</v>
      </c>
    </row>
    <row r="381" spans="15:16" x14ac:dyDescent="0.45">
      <c r="O381">
        <v>380</v>
      </c>
      <c r="P381" s="10">
        <v>557410.65283464524</v>
      </c>
    </row>
    <row r="382" spans="15:16" x14ac:dyDescent="0.45">
      <c r="O382">
        <v>381</v>
      </c>
      <c r="P382" s="10">
        <v>539499.86569338816</v>
      </c>
    </row>
    <row r="383" spans="15:16" x14ac:dyDescent="0.45">
      <c r="O383">
        <v>382</v>
      </c>
      <c r="P383" s="10">
        <v>540755.07577495556</v>
      </c>
    </row>
    <row r="384" spans="15:16" x14ac:dyDescent="0.45">
      <c r="O384">
        <v>383</v>
      </c>
      <c r="P384" s="10">
        <v>550292.26836974197</v>
      </c>
    </row>
    <row r="385" spans="15:16" x14ac:dyDescent="0.45">
      <c r="O385">
        <v>384</v>
      </c>
      <c r="P385" s="10">
        <v>546765.08034661936</v>
      </c>
    </row>
    <row r="386" spans="15:16" x14ac:dyDescent="0.45">
      <c r="O386">
        <v>385</v>
      </c>
      <c r="P386" s="10">
        <v>548617.42036449374</v>
      </c>
    </row>
    <row r="387" spans="15:16" x14ac:dyDescent="0.45">
      <c r="O387">
        <v>386</v>
      </c>
      <c r="P387" s="10">
        <v>565135.39784329652</v>
      </c>
    </row>
    <row r="388" spans="15:16" x14ac:dyDescent="0.45">
      <c r="O388">
        <v>387</v>
      </c>
      <c r="P388" s="10">
        <v>567423.30127306073</v>
      </c>
    </row>
    <row r="389" spans="15:16" x14ac:dyDescent="0.45">
      <c r="O389">
        <v>388</v>
      </c>
      <c r="P389" s="10">
        <v>551703.89583838556</v>
      </c>
    </row>
    <row r="390" spans="15:16" x14ac:dyDescent="0.45">
      <c r="O390">
        <v>389</v>
      </c>
      <c r="P390" s="10">
        <v>563589.66197360912</v>
      </c>
    </row>
    <row r="391" spans="15:16" x14ac:dyDescent="0.45">
      <c r="O391">
        <v>390</v>
      </c>
      <c r="P391" s="10">
        <v>562580.77281476173</v>
      </c>
    </row>
    <row r="392" spans="15:16" x14ac:dyDescent="0.45">
      <c r="O392">
        <v>391</v>
      </c>
      <c r="P392" s="10">
        <v>568402.29179466516</v>
      </c>
    </row>
    <row r="393" spans="15:16" x14ac:dyDescent="0.45">
      <c r="O393">
        <v>392</v>
      </c>
      <c r="P393" s="10">
        <v>575074.25251290877</v>
      </c>
    </row>
    <row r="394" spans="15:16" x14ac:dyDescent="0.45">
      <c r="O394">
        <v>393</v>
      </c>
      <c r="P394" s="10">
        <v>561296.05058196723</v>
      </c>
    </row>
    <row r="395" spans="15:16" x14ac:dyDescent="0.45">
      <c r="O395">
        <v>394</v>
      </c>
      <c r="P395" s="10">
        <v>575210.00430662849</v>
      </c>
    </row>
    <row r="396" spans="15:16" x14ac:dyDescent="0.45">
      <c r="O396">
        <v>395</v>
      </c>
      <c r="P396" s="10">
        <v>566006.69598731294</v>
      </c>
    </row>
    <row r="397" spans="15:16" x14ac:dyDescent="0.45">
      <c r="O397">
        <v>396</v>
      </c>
      <c r="P397" s="10">
        <v>564026.98177375086</v>
      </c>
    </row>
    <row r="398" spans="15:16" x14ac:dyDescent="0.45">
      <c r="O398">
        <v>397</v>
      </c>
      <c r="P398" s="10">
        <v>543172.86509426299</v>
      </c>
    </row>
    <row r="399" spans="15:16" x14ac:dyDescent="0.45">
      <c r="O399">
        <v>398</v>
      </c>
      <c r="P399" s="10">
        <v>556909.84007032914</v>
      </c>
    </row>
    <row r="400" spans="15:16" x14ac:dyDescent="0.45">
      <c r="O400">
        <v>399</v>
      </c>
      <c r="P400" s="10">
        <v>533241.96959731902</v>
      </c>
    </row>
    <row r="401" spans="15:16" x14ac:dyDescent="0.45">
      <c r="O401">
        <v>400</v>
      </c>
      <c r="P401" s="10">
        <v>558738.27662600856</v>
      </c>
    </row>
    <row r="402" spans="15:16" x14ac:dyDescent="0.45">
      <c r="O402">
        <v>401</v>
      </c>
      <c r="P402" s="10">
        <v>567542.2183080737</v>
      </c>
    </row>
    <row r="403" spans="15:16" x14ac:dyDescent="0.45">
      <c r="O403">
        <v>402</v>
      </c>
      <c r="P403" s="10">
        <v>565933.548497251</v>
      </c>
    </row>
    <row r="404" spans="15:16" x14ac:dyDescent="0.45">
      <c r="O404">
        <v>403</v>
      </c>
      <c r="P404" s="10">
        <v>569487.32911601814</v>
      </c>
    </row>
    <row r="405" spans="15:16" x14ac:dyDescent="0.45">
      <c r="O405">
        <v>404</v>
      </c>
      <c r="P405" s="10">
        <v>536435.38695501408</v>
      </c>
    </row>
    <row r="406" spans="15:16" x14ac:dyDescent="0.45">
      <c r="O406">
        <v>405</v>
      </c>
      <c r="P406" s="10">
        <v>541412.35803432786</v>
      </c>
    </row>
    <row r="407" spans="15:16" x14ac:dyDescent="0.45">
      <c r="O407">
        <v>406</v>
      </c>
      <c r="P407" s="10">
        <v>551079.34727890207</v>
      </c>
    </row>
    <row r="408" spans="15:16" x14ac:dyDescent="0.45">
      <c r="O408">
        <v>407</v>
      </c>
      <c r="P408" s="10">
        <v>549565.16376864794</v>
      </c>
    </row>
    <row r="409" spans="15:16" x14ac:dyDescent="0.45">
      <c r="O409">
        <v>408</v>
      </c>
      <c r="P409" s="10">
        <v>561984.07005817804</v>
      </c>
    </row>
    <row r="410" spans="15:16" x14ac:dyDescent="0.45">
      <c r="O410">
        <v>409</v>
      </c>
      <c r="P410" s="10">
        <v>543116.3740976525</v>
      </c>
    </row>
    <row r="411" spans="15:16" x14ac:dyDescent="0.45">
      <c r="O411">
        <v>410</v>
      </c>
      <c r="P411" s="10">
        <v>552941.74036496738</v>
      </c>
    </row>
    <row r="412" spans="15:16" x14ac:dyDescent="0.45">
      <c r="O412">
        <v>411</v>
      </c>
      <c r="P412" s="10">
        <v>564255.51645093667</v>
      </c>
    </row>
    <row r="413" spans="15:16" x14ac:dyDescent="0.45">
      <c r="O413">
        <v>412</v>
      </c>
      <c r="P413" s="10">
        <v>560843.35520192713</v>
      </c>
    </row>
    <row r="414" spans="15:16" x14ac:dyDescent="0.45">
      <c r="O414">
        <v>413</v>
      </c>
      <c r="P414" s="10">
        <v>559198.53210747126</v>
      </c>
    </row>
    <row r="415" spans="15:16" x14ac:dyDescent="0.45">
      <c r="O415">
        <v>414</v>
      </c>
      <c r="P415" s="10">
        <v>547268.77581624058</v>
      </c>
    </row>
    <row r="416" spans="15:16" x14ac:dyDescent="0.45">
      <c r="O416">
        <v>415</v>
      </c>
      <c r="P416" s="10">
        <v>550795.9794902202</v>
      </c>
    </row>
    <row r="417" spans="15:16" x14ac:dyDescent="0.45">
      <c r="O417">
        <v>416</v>
      </c>
      <c r="P417" s="10">
        <v>563000.79581796832</v>
      </c>
    </row>
    <row r="418" spans="15:16" x14ac:dyDescent="0.45">
      <c r="O418">
        <v>417</v>
      </c>
      <c r="P418" s="10">
        <v>544132.99810088659</v>
      </c>
    </row>
    <row r="419" spans="15:16" x14ac:dyDescent="0.45">
      <c r="O419">
        <v>418</v>
      </c>
      <c r="P419" s="10">
        <v>557152.40234687424</v>
      </c>
    </row>
    <row r="420" spans="15:16" x14ac:dyDescent="0.45">
      <c r="O420">
        <v>419</v>
      </c>
      <c r="P420" s="10">
        <v>561640.59605469438</v>
      </c>
    </row>
    <row r="421" spans="15:16" x14ac:dyDescent="0.45">
      <c r="O421">
        <v>420</v>
      </c>
      <c r="P421" s="10">
        <v>557341.80055979162</v>
      </c>
    </row>
    <row r="422" spans="15:16" x14ac:dyDescent="0.45">
      <c r="O422">
        <v>421</v>
      </c>
      <c r="P422" s="10">
        <v>560706.24825438659</v>
      </c>
    </row>
    <row r="423" spans="15:16" x14ac:dyDescent="0.45">
      <c r="O423">
        <v>422</v>
      </c>
      <c r="P423" s="10">
        <v>574066.78471481521</v>
      </c>
    </row>
    <row r="424" spans="15:16" x14ac:dyDescent="0.45">
      <c r="O424">
        <v>423</v>
      </c>
      <c r="P424" s="10">
        <v>549074.51466697827</v>
      </c>
    </row>
    <row r="425" spans="15:16" x14ac:dyDescent="0.45">
      <c r="O425">
        <v>424</v>
      </c>
      <c r="P425" s="10">
        <v>568195.32000347238</v>
      </c>
    </row>
    <row r="426" spans="15:16" x14ac:dyDescent="0.45">
      <c r="O426">
        <v>425</v>
      </c>
      <c r="P426" s="10">
        <v>539917.56474872003</v>
      </c>
    </row>
    <row r="427" spans="15:16" x14ac:dyDescent="0.45">
      <c r="O427">
        <v>426</v>
      </c>
      <c r="P427" s="10">
        <v>547962.14018272539</v>
      </c>
    </row>
    <row r="428" spans="15:16" x14ac:dyDescent="0.45">
      <c r="O428">
        <v>427</v>
      </c>
      <c r="P428" s="10">
        <v>538985.48172877776</v>
      </c>
    </row>
    <row r="429" spans="15:16" x14ac:dyDescent="0.45">
      <c r="O429">
        <v>428</v>
      </c>
      <c r="P429" s="10">
        <v>575285.10232573655</v>
      </c>
    </row>
    <row r="430" spans="15:16" x14ac:dyDescent="0.45">
      <c r="O430">
        <v>429</v>
      </c>
      <c r="P430" s="10">
        <v>567497.01583759231</v>
      </c>
    </row>
    <row r="431" spans="15:16" x14ac:dyDescent="0.45">
      <c r="O431">
        <v>430</v>
      </c>
      <c r="P431" s="10">
        <v>563419.65513375797</v>
      </c>
    </row>
    <row r="432" spans="15:16" x14ac:dyDescent="0.45">
      <c r="O432">
        <v>431</v>
      </c>
      <c r="P432" s="10">
        <v>550826.11612616573</v>
      </c>
    </row>
    <row r="433" spans="15:16" x14ac:dyDescent="0.45">
      <c r="O433">
        <v>432</v>
      </c>
      <c r="P433" s="10">
        <v>559803.44439896196</v>
      </c>
    </row>
    <row r="434" spans="15:16" x14ac:dyDescent="0.45">
      <c r="O434">
        <v>433</v>
      </c>
      <c r="P434" s="10">
        <v>554437.60968468664</v>
      </c>
    </row>
    <row r="435" spans="15:16" x14ac:dyDescent="0.45">
      <c r="O435">
        <v>434</v>
      </c>
      <c r="P435" s="10">
        <v>547291.82376756927</v>
      </c>
    </row>
    <row r="436" spans="15:16" x14ac:dyDescent="0.45">
      <c r="O436">
        <v>435</v>
      </c>
      <c r="P436" s="10">
        <v>570122.28572948836</v>
      </c>
    </row>
    <row r="437" spans="15:16" x14ac:dyDescent="0.45">
      <c r="O437">
        <v>436</v>
      </c>
      <c r="P437" s="10">
        <v>566335.57120972092</v>
      </c>
    </row>
    <row r="438" spans="15:16" x14ac:dyDescent="0.45">
      <c r="O438">
        <v>437</v>
      </c>
      <c r="P438" s="10">
        <v>573221.56254820351</v>
      </c>
    </row>
    <row r="439" spans="15:16" x14ac:dyDescent="0.45">
      <c r="O439">
        <v>438</v>
      </c>
      <c r="P439" s="10">
        <v>555985.58264876483</v>
      </c>
    </row>
    <row r="440" spans="15:16" x14ac:dyDescent="0.45">
      <c r="O440">
        <v>439</v>
      </c>
      <c r="P440" s="10">
        <v>584198.23570150696</v>
      </c>
    </row>
    <row r="441" spans="15:16" x14ac:dyDescent="0.45">
      <c r="O441">
        <v>440</v>
      </c>
      <c r="P441" s="10">
        <v>567834.45491487719</v>
      </c>
    </row>
    <row r="442" spans="15:16" x14ac:dyDescent="0.45">
      <c r="O442">
        <v>441</v>
      </c>
      <c r="P442" s="10">
        <v>552741.6060874298</v>
      </c>
    </row>
    <row r="443" spans="15:16" x14ac:dyDescent="0.45">
      <c r="O443">
        <v>442</v>
      </c>
      <c r="P443" s="10">
        <v>578479.11813633691</v>
      </c>
    </row>
    <row r="444" spans="15:16" x14ac:dyDescent="0.45">
      <c r="O444">
        <v>443</v>
      </c>
      <c r="P444" s="10">
        <v>564648.11502477096</v>
      </c>
    </row>
    <row r="445" spans="15:16" x14ac:dyDescent="0.45">
      <c r="O445">
        <v>444</v>
      </c>
      <c r="P445" s="10">
        <v>551055.64823717764</v>
      </c>
    </row>
    <row r="446" spans="15:16" x14ac:dyDescent="0.45">
      <c r="O446">
        <v>445</v>
      </c>
      <c r="P446" s="10">
        <v>575110.15711324953</v>
      </c>
    </row>
    <row r="447" spans="15:16" x14ac:dyDescent="0.45">
      <c r="O447">
        <v>446</v>
      </c>
      <c r="P447" s="10">
        <v>548346.79236584774</v>
      </c>
    </row>
    <row r="448" spans="15:16" x14ac:dyDescent="0.45">
      <c r="O448">
        <v>447</v>
      </c>
      <c r="P448" s="10">
        <v>539121.36880563118</v>
      </c>
    </row>
    <row r="449" spans="15:16" x14ac:dyDescent="0.45">
      <c r="O449">
        <v>448</v>
      </c>
      <c r="P449" s="10">
        <v>543563.30742187088</v>
      </c>
    </row>
    <row r="450" spans="15:16" x14ac:dyDescent="0.45">
      <c r="O450">
        <v>449</v>
      </c>
      <c r="P450" s="10">
        <v>557696.76367705374</v>
      </c>
    </row>
    <row r="451" spans="15:16" x14ac:dyDescent="0.45">
      <c r="O451">
        <v>450</v>
      </c>
      <c r="P451" s="10">
        <v>576822.16476324829</v>
      </c>
    </row>
    <row r="452" spans="15:16" x14ac:dyDescent="0.45">
      <c r="O452">
        <v>451</v>
      </c>
      <c r="P452" s="10">
        <v>543561.24479006592</v>
      </c>
    </row>
    <row r="453" spans="15:16" x14ac:dyDescent="0.45">
      <c r="O453">
        <v>452</v>
      </c>
      <c r="P453" s="10">
        <v>543926.29081984586</v>
      </c>
    </row>
    <row r="454" spans="15:16" x14ac:dyDescent="0.45">
      <c r="O454">
        <v>453</v>
      </c>
      <c r="P454" s="10">
        <v>535113.14755104086</v>
      </c>
    </row>
    <row r="455" spans="15:16" x14ac:dyDescent="0.45">
      <c r="O455">
        <v>454</v>
      </c>
      <c r="P455" s="10">
        <v>559949.73976565525</v>
      </c>
    </row>
    <row r="456" spans="15:16" x14ac:dyDescent="0.45">
      <c r="O456">
        <v>455</v>
      </c>
      <c r="P456" s="10">
        <v>550430.41746466688</v>
      </c>
    </row>
    <row r="457" spans="15:16" x14ac:dyDescent="0.45">
      <c r="O457">
        <v>456</v>
      </c>
      <c r="P457" s="10">
        <v>549396.40296204179</v>
      </c>
    </row>
    <row r="458" spans="15:16" x14ac:dyDescent="0.45">
      <c r="O458">
        <v>457</v>
      </c>
      <c r="P458" s="10">
        <v>522576.86330271373</v>
      </c>
    </row>
    <row r="459" spans="15:16" x14ac:dyDescent="0.45">
      <c r="O459">
        <v>458</v>
      </c>
      <c r="P459" s="10">
        <v>550645.54705319088</v>
      </c>
    </row>
    <row r="460" spans="15:16" x14ac:dyDescent="0.45">
      <c r="O460">
        <v>459</v>
      </c>
      <c r="P460" s="10">
        <v>555105.09894368402</v>
      </c>
    </row>
    <row r="461" spans="15:16" x14ac:dyDescent="0.45">
      <c r="O461">
        <v>460</v>
      </c>
      <c r="P461" s="10">
        <v>546745.80894388503</v>
      </c>
    </row>
    <row r="462" spans="15:16" x14ac:dyDescent="0.45">
      <c r="O462">
        <v>461</v>
      </c>
      <c r="P462" s="10">
        <v>562738.1345142955</v>
      </c>
    </row>
    <row r="463" spans="15:16" x14ac:dyDescent="0.45">
      <c r="O463">
        <v>462</v>
      </c>
      <c r="P463" s="10">
        <v>556468.96299411391</v>
      </c>
    </row>
    <row r="464" spans="15:16" x14ac:dyDescent="0.45">
      <c r="O464">
        <v>463</v>
      </c>
      <c r="P464" s="10">
        <v>557815.15512558771</v>
      </c>
    </row>
    <row r="465" spans="15:16" x14ac:dyDescent="0.45">
      <c r="O465">
        <v>464</v>
      </c>
      <c r="P465" s="10">
        <v>520788.46594885469</v>
      </c>
    </row>
    <row r="466" spans="15:16" x14ac:dyDescent="0.45">
      <c r="O466">
        <v>465</v>
      </c>
      <c r="P466" s="10">
        <v>558568.8524361985</v>
      </c>
    </row>
    <row r="467" spans="15:16" x14ac:dyDescent="0.45">
      <c r="O467">
        <v>466</v>
      </c>
      <c r="P467" s="10">
        <v>572214.84865243162</v>
      </c>
    </row>
    <row r="468" spans="15:16" x14ac:dyDescent="0.45">
      <c r="O468">
        <v>467</v>
      </c>
      <c r="P468" s="10">
        <v>552805.20025751286</v>
      </c>
    </row>
    <row r="469" spans="15:16" x14ac:dyDescent="0.45">
      <c r="O469">
        <v>468</v>
      </c>
      <c r="P469" s="10">
        <v>565053.0071934578</v>
      </c>
    </row>
    <row r="470" spans="15:16" x14ac:dyDescent="0.45">
      <c r="O470">
        <v>469</v>
      </c>
      <c r="P470" s="10">
        <v>542808.88082114211</v>
      </c>
    </row>
    <row r="471" spans="15:16" x14ac:dyDescent="0.45">
      <c r="O471">
        <v>470</v>
      </c>
      <c r="P471" s="10">
        <v>599349.41568938526</v>
      </c>
    </row>
    <row r="472" spans="15:16" x14ac:dyDescent="0.45">
      <c r="O472">
        <v>471</v>
      </c>
      <c r="P472" s="10">
        <v>551043.00754095544</v>
      </c>
    </row>
    <row r="473" spans="15:16" x14ac:dyDescent="0.45">
      <c r="O473">
        <v>472</v>
      </c>
      <c r="P473" s="10">
        <v>585985.98531328898</v>
      </c>
    </row>
    <row r="474" spans="15:16" x14ac:dyDescent="0.45">
      <c r="O474">
        <v>473</v>
      </c>
      <c r="P474" s="10">
        <v>567984.38141865388</v>
      </c>
    </row>
    <row r="475" spans="15:16" x14ac:dyDescent="0.45">
      <c r="O475">
        <v>474</v>
      </c>
      <c r="P475" s="10">
        <v>566848.72200166399</v>
      </c>
    </row>
    <row r="476" spans="15:16" x14ac:dyDescent="0.45">
      <c r="O476">
        <v>475</v>
      </c>
      <c r="P476" s="10">
        <v>563348.26444147364</v>
      </c>
    </row>
    <row r="477" spans="15:16" x14ac:dyDescent="0.45">
      <c r="O477">
        <v>476</v>
      </c>
      <c r="P477" s="10">
        <v>551749.37912312511</v>
      </c>
    </row>
    <row r="478" spans="15:16" x14ac:dyDescent="0.45">
      <c r="O478">
        <v>477</v>
      </c>
      <c r="P478" s="10">
        <v>557566.70527812291</v>
      </c>
    </row>
    <row r="479" spans="15:16" x14ac:dyDescent="0.45">
      <c r="O479">
        <v>478</v>
      </c>
      <c r="P479" s="10">
        <v>583434.33154029248</v>
      </c>
    </row>
    <row r="480" spans="15:16" x14ac:dyDescent="0.45">
      <c r="O480">
        <v>479</v>
      </c>
      <c r="P480" s="10">
        <v>541185.03040851571</v>
      </c>
    </row>
    <row r="481" spans="15:16" x14ac:dyDescent="0.45">
      <c r="O481">
        <v>480</v>
      </c>
      <c r="P481" s="10">
        <v>554076.51003802149</v>
      </c>
    </row>
    <row r="482" spans="15:16" x14ac:dyDescent="0.45">
      <c r="O482">
        <v>481</v>
      </c>
      <c r="P482" s="10">
        <v>574835.14323951863</v>
      </c>
    </row>
    <row r="483" spans="15:16" x14ac:dyDescent="0.45">
      <c r="O483">
        <v>482</v>
      </c>
      <c r="P483" s="10">
        <v>533028.29602467245</v>
      </c>
    </row>
    <row r="484" spans="15:16" x14ac:dyDescent="0.45">
      <c r="O484">
        <v>483</v>
      </c>
      <c r="P484" s="10">
        <v>573529.50694097334</v>
      </c>
    </row>
    <row r="485" spans="15:16" x14ac:dyDescent="0.45">
      <c r="O485">
        <v>484</v>
      </c>
      <c r="P485" s="10">
        <v>543341.02716605912</v>
      </c>
    </row>
    <row r="486" spans="15:16" x14ac:dyDescent="0.45">
      <c r="O486">
        <v>485</v>
      </c>
      <c r="P486" s="10">
        <v>565116.98291032179</v>
      </c>
    </row>
    <row r="487" spans="15:16" x14ac:dyDescent="0.45">
      <c r="O487">
        <v>486</v>
      </c>
      <c r="P487" s="10">
        <v>562242.91210908513</v>
      </c>
    </row>
    <row r="488" spans="15:16" x14ac:dyDescent="0.45">
      <c r="O488">
        <v>487</v>
      </c>
      <c r="P488" s="10">
        <v>562515.77244041394</v>
      </c>
    </row>
    <row r="489" spans="15:16" x14ac:dyDescent="0.45">
      <c r="O489">
        <v>488</v>
      </c>
      <c r="P489" s="10">
        <v>555585.18828435987</v>
      </c>
    </row>
    <row r="490" spans="15:16" x14ac:dyDescent="0.45">
      <c r="O490">
        <v>489</v>
      </c>
      <c r="P490" s="10">
        <v>552243.73236667714</v>
      </c>
    </row>
    <row r="491" spans="15:16" x14ac:dyDescent="0.45">
      <c r="O491">
        <v>490</v>
      </c>
      <c r="P491" s="10">
        <v>564442.97037960216</v>
      </c>
    </row>
    <row r="492" spans="15:16" x14ac:dyDescent="0.45">
      <c r="O492">
        <v>491</v>
      </c>
      <c r="P492" s="10">
        <v>588467.01897142199</v>
      </c>
    </row>
    <row r="493" spans="15:16" x14ac:dyDescent="0.45">
      <c r="O493">
        <v>492</v>
      </c>
      <c r="P493" s="10">
        <v>560234.75716265</v>
      </c>
    </row>
    <row r="494" spans="15:16" x14ac:dyDescent="0.45">
      <c r="O494">
        <v>493</v>
      </c>
      <c r="P494" s="10">
        <v>557871.02054531069</v>
      </c>
    </row>
    <row r="495" spans="15:16" x14ac:dyDescent="0.45">
      <c r="O495">
        <v>494</v>
      </c>
      <c r="P495" s="10">
        <v>557937.82173521083</v>
      </c>
    </row>
    <row r="496" spans="15:16" x14ac:dyDescent="0.45">
      <c r="O496">
        <v>495</v>
      </c>
      <c r="P496" s="10">
        <v>555365.44064550311</v>
      </c>
    </row>
    <row r="497" spans="15:16" x14ac:dyDescent="0.45">
      <c r="O497">
        <v>496</v>
      </c>
      <c r="P497" s="10">
        <v>544449.91157882626</v>
      </c>
    </row>
    <row r="498" spans="15:16" x14ac:dyDescent="0.45">
      <c r="O498">
        <v>497</v>
      </c>
      <c r="P498" s="10">
        <v>536472.17452870589</v>
      </c>
    </row>
    <row r="499" spans="15:16" x14ac:dyDescent="0.45">
      <c r="O499">
        <v>498</v>
      </c>
      <c r="P499" s="10">
        <v>573013.55456992728</v>
      </c>
    </row>
    <row r="500" spans="15:16" x14ac:dyDescent="0.45">
      <c r="O500">
        <v>499</v>
      </c>
      <c r="P500" s="10">
        <v>551250.9478448577</v>
      </c>
    </row>
    <row r="501" spans="15:16" x14ac:dyDescent="0.45">
      <c r="O501">
        <v>500</v>
      </c>
      <c r="P501" s="10">
        <v>578968.71839424758</v>
      </c>
    </row>
    <row r="502" spans="15:16" x14ac:dyDescent="0.45">
      <c r="O502">
        <v>501</v>
      </c>
      <c r="P502" s="10">
        <v>576543.83140645432</v>
      </c>
    </row>
    <row r="503" spans="15:16" x14ac:dyDescent="0.45">
      <c r="O503">
        <v>502</v>
      </c>
      <c r="P503" s="10">
        <v>553506.2747607521</v>
      </c>
    </row>
    <row r="504" spans="15:16" x14ac:dyDescent="0.45">
      <c r="O504">
        <v>503</v>
      </c>
      <c r="P504" s="10">
        <v>569939.6929245682</v>
      </c>
    </row>
    <row r="505" spans="15:16" x14ac:dyDescent="0.45">
      <c r="O505">
        <v>504</v>
      </c>
      <c r="P505" s="10">
        <v>563865.95590313571</v>
      </c>
    </row>
    <row r="506" spans="15:16" x14ac:dyDescent="0.45">
      <c r="O506">
        <v>505</v>
      </c>
      <c r="P506" s="10">
        <v>572590.77606668929</v>
      </c>
    </row>
    <row r="507" spans="15:16" x14ac:dyDescent="0.45">
      <c r="O507">
        <v>506</v>
      </c>
      <c r="P507" s="10">
        <v>578190.09837173263</v>
      </c>
    </row>
    <row r="508" spans="15:16" x14ac:dyDescent="0.45">
      <c r="O508">
        <v>507</v>
      </c>
      <c r="P508" s="10">
        <v>568097.55131941137</v>
      </c>
    </row>
    <row r="509" spans="15:16" x14ac:dyDescent="0.45">
      <c r="O509">
        <v>508</v>
      </c>
      <c r="P509" s="10">
        <v>541227.79940443288</v>
      </c>
    </row>
    <row r="510" spans="15:16" x14ac:dyDescent="0.45">
      <c r="O510">
        <v>509</v>
      </c>
      <c r="P510" s="10">
        <v>545117.43631123775</v>
      </c>
    </row>
    <row r="511" spans="15:16" x14ac:dyDescent="0.45">
      <c r="O511">
        <v>510</v>
      </c>
      <c r="P511" s="10">
        <v>568581.09390084795</v>
      </c>
    </row>
    <row r="512" spans="15:16" x14ac:dyDescent="0.45">
      <c r="O512">
        <v>511</v>
      </c>
      <c r="P512" s="10">
        <v>593830.16467837989</v>
      </c>
    </row>
    <row r="513" spans="15:16" x14ac:dyDescent="0.45">
      <c r="O513">
        <v>512</v>
      </c>
      <c r="P513" s="10">
        <v>586671.96489732177</v>
      </c>
    </row>
    <row r="514" spans="15:16" x14ac:dyDescent="0.45">
      <c r="O514">
        <v>513</v>
      </c>
      <c r="P514" s="10">
        <v>551242.43286988605</v>
      </c>
    </row>
    <row r="515" spans="15:16" x14ac:dyDescent="0.45">
      <c r="O515">
        <v>514</v>
      </c>
      <c r="P515" s="10">
        <v>552851.55744601332</v>
      </c>
    </row>
    <row r="516" spans="15:16" x14ac:dyDescent="0.45">
      <c r="O516">
        <v>515</v>
      </c>
      <c r="P516" s="10">
        <v>553188.50819754577</v>
      </c>
    </row>
    <row r="517" spans="15:16" x14ac:dyDescent="0.45">
      <c r="O517">
        <v>516</v>
      </c>
      <c r="P517" s="10">
        <v>581667.06390601641</v>
      </c>
    </row>
    <row r="518" spans="15:16" x14ac:dyDescent="0.45">
      <c r="O518">
        <v>517</v>
      </c>
      <c r="P518" s="10">
        <v>568697.67075012776</v>
      </c>
    </row>
    <row r="519" spans="15:16" x14ac:dyDescent="0.45">
      <c r="O519">
        <v>518</v>
      </c>
      <c r="P519" s="10">
        <v>530561.93041893293</v>
      </c>
    </row>
    <row r="520" spans="15:16" x14ac:dyDescent="0.45">
      <c r="O520">
        <v>519</v>
      </c>
      <c r="P520" s="10">
        <v>557339.29366651434</v>
      </c>
    </row>
    <row r="521" spans="15:16" x14ac:dyDescent="0.45">
      <c r="O521">
        <v>520</v>
      </c>
      <c r="P521" s="10">
        <v>571376.52127515362</v>
      </c>
    </row>
    <row r="522" spans="15:16" x14ac:dyDescent="0.45">
      <c r="O522">
        <v>521</v>
      </c>
      <c r="P522" s="10">
        <v>537381.5750805561</v>
      </c>
    </row>
    <row r="523" spans="15:16" x14ac:dyDescent="0.45">
      <c r="O523">
        <v>522</v>
      </c>
      <c r="P523" s="10">
        <v>580654.71343838563</v>
      </c>
    </row>
    <row r="524" spans="15:16" x14ac:dyDescent="0.45">
      <c r="O524">
        <v>523</v>
      </c>
      <c r="P524" s="10">
        <v>559822.39993186481</v>
      </c>
    </row>
    <row r="525" spans="15:16" x14ac:dyDescent="0.45">
      <c r="O525">
        <v>524</v>
      </c>
      <c r="P525" s="10">
        <v>554663.30610976729</v>
      </c>
    </row>
    <row r="526" spans="15:16" x14ac:dyDescent="0.45">
      <c r="O526">
        <v>525</v>
      </c>
      <c r="P526" s="10">
        <v>561867.60879262048</v>
      </c>
    </row>
    <row r="527" spans="15:16" x14ac:dyDescent="0.45">
      <c r="O527">
        <v>526</v>
      </c>
      <c r="P527" s="10">
        <v>567136.05899459543</v>
      </c>
    </row>
    <row r="528" spans="15:16" x14ac:dyDescent="0.45">
      <c r="O528">
        <v>527</v>
      </c>
      <c r="P528" s="10">
        <v>552034.19475055765</v>
      </c>
    </row>
    <row r="529" spans="15:16" x14ac:dyDescent="0.45">
      <c r="O529">
        <v>528</v>
      </c>
      <c r="P529" s="10">
        <v>559892.16796395776</v>
      </c>
    </row>
    <row r="530" spans="15:16" x14ac:dyDescent="0.45">
      <c r="O530">
        <v>529</v>
      </c>
      <c r="P530" s="10">
        <v>573367.33605710883</v>
      </c>
    </row>
    <row r="531" spans="15:16" x14ac:dyDescent="0.45">
      <c r="O531">
        <v>530</v>
      </c>
      <c r="P531" s="10">
        <v>584945.87203417812</v>
      </c>
    </row>
    <row r="532" spans="15:16" x14ac:dyDescent="0.45">
      <c r="O532">
        <v>531</v>
      </c>
      <c r="P532" s="10">
        <v>549363.43324071029</v>
      </c>
    </row>
    <row r="533" spans="15:16" x14ac:dyDescent="0.45">
      <c r="O533">
        <v>532</v>
      </c>
      <c r="P533" s="10">
        <v>554831.55688130541</v>
      </c>
    </row>
    <row r="534" spans="15:16" x14ac:dyDescent="0.45">
      <c r="O534">
        <v>533</v>
      </c>
      <c r="P534" s="10">
        <v>576811.39267287322</v>
      </c>
    </row>
    <row r="535" spans="15:16" x14ac:dyDescent="0.45">
      <c r="O535">
        <v>534</v>
      </c>
      <c r="P535" s="10">
        <v>562353.33664371225</v>
      </c>
    </row>
    <row r="536" spans="15:16" x14ac:dyDescent="0.45">
      <c r="O536">
        <v>535</v>
      </c>
      <c r="P536" s="10">
        <v>566092.85709197621</v>
      </c>
    </row>
    <row r="537" spans="15:16" x14ac:dyDescent="0.45">
      <c r="O537">
        <v>536</v>
      </c>
      <c r="P537" s="10">
        <v>561202.70217377797</v>
      </c>
    </row>
    <row r="538" spans="15:16" x14ac:dyDescent="0.45">
      <c r="O538">
        <v>537</v>
      </c>
      <c r="P538" s="10">
        <v>561965.38736531208</v>
      </c>
    </row>
    <row r="539" spans="15:16" x14ac:dyDescent="0.45">
      <c r="O539">
        <v>538</v>
      </c>
      <c r="P539" s="10">
        <v>571899.09930967668</v>
      </c>
    </row>
    <row r="540" spans="15:16" x14ac:dyDescent="0.45">
      <c r="O540">
        <v>539</v>
      </c>
      <c r="P540" s="10">
        <v>559751.04600309324</v>
      </c>
    </row>
    <row r="541" spans="15:16" x14ac:dyDescent="0.45">
      <c r="O541">
        <v>540</v>
      </c>
      <c r="P541" s="10">
        <v>561478.63857597834</v>
      </c>
    </row>
    <row r="542" spans="15:16" x14ac:dyDescent="0.45">
      <c r="O542">
        <v>541</v>
      </c>
      <c r="P542" s="10">
        <v>546868.99037943</v>
      </c>
    </row>
    <row r="543" spans="15:16" x14ac:dyDescent="0.45">
      <c r="O543">
        <v>542</v>
      </c>
      <c r="P543" s="10">
        <v>553094.23912101681</v>
      </c>
    </row>
    <row r="544" spans="15:16" x14ac:dyDescent="0.45">
      <c r="O544">
        <v>543</v>
      </c>
      <c r="P544" s="10">
        <v>565378.46249914938</v>
      </c>
    </row>
    <row r="545" spans="15:16" x14ac:dyDescent="0.45">
      <c r="O545">
        <v>544</v>
      </c>
      <c r="P545" s="10">
        <v>565893.53742803144</v>
      </c>
    </row>
    <row r="546" spans="15:16" x14ac:dyDescent="0.45">
      <c r="O546">
        <v>545</v>
      </c>
      <c r="P546" s="10">
        <v>565607.17357009428</v>
      </c>
    </row>
    <row r="547" spans="15:16" x14ac:dyDescent="0.45">
      <c r="O547">
        <v>546</v>
      </c>
      <c r="P547" s="10">
        <v>563817.33859315002</v>
      </c>
    </row>
    <row r="548" spans="15:16" x14ac:dyDescent="0.45">
      <c r="O548">
        <v>547</v>
      </c>
      <c r="P548" s="10">
        <v>566003.71259133017</v>
      </c>
    </row>
    <row r="549" spans="15:16" x14ac:dyDescent="0.45">
      <c r="O549">
        <v>548</v>
      </c>
      <c r="P549" s="10">
        <v>555666.08031065948</v>
      </c>
    </row>
    <row r="550" spans="15:16" x14ac:dyDescent="0.45">
      <c r="O550">
        <v>549</v>
      </c>
      <c r="P550" s="10">
        <v>558724.56244323403</v>
      </c>
    </row>
    <row r="551" spans="15:16" x14ac:dyDescent="0.45">
      <c r="O551">
        <v>550</v>
      </c>
      <c r="P551" s="10">
        <v>544866.6519419176</v>
      </c>
    </row>
    <row r="552" spans="15:16" x14ac:dyDescent="0.45">
      <c r="O552">
        <v>551</v>
      </c>
      <c r="P552" s="10">
        <v>552180.90017322404</v>
      </c>
    </row>
    <row r="553" spans="15:16" x14ac:dyDescent="0.45">
      <c r="O553">
        <v>552</v>
      </c>
      <c r="P553" s="10">
        <v>590663.8701007301</v>
      </c>
    </row>
    <row r="554" spans="15:16" x14ac:dyDescent="0.45">
      <c r="O554">
        <v>553</v>
      </c>
      <c r="P554" s="10">
        <v>548326.89293953381</v>
      </c>
    </row>
    <row r="555" spans="15:16" x14ac:dyDescent="0.45">
      <c r="O555">
        <v>554</v>
      </c>
      <c r="P555" s="10">
        <v>566161.59242521471</v>
      </c>
    </row>
    <row r="556" spans="15:16" x14ac:dyDescent="0.45">
      <c r="O556">
        <v>555</v>
      </c>
      <c r="P556" s="10">
        <v>549200.22636223864</v>
      </c>
    </row>
    <row r="557" spans="15:16" x14ac:dyDescent="0.45">
      <c r="O557">
        <v>556</v>
      </c>
      <c r="P557" s="10">
        <v>570588.82236146787</v>
      </c>
    </row>
    <row r="558" spans="15:16" x14ac:dyDescent="0.45">
      <c r="O558">
        <v>557</v>
      </c>
      <c r="P558" s="10">
        <v>552071.26879020012</v>
      </c>
    </row>
    <row r="559" spans="15:16" x14ac:dyDescent="0.45">
      <c r="O559">
        <v>558</v>
      </c>
      <c r="P559" s="10">
        <v>567948.09975186561</v>
      </c>
    </row>
    <row r="560" spans="15:16" x14ac:dyDescent="0.45">
      <c r="O560">
        <v>559</v>
      </c>
      <c r="P560" s="10">
        <v>570710.2155899168</v>
      </c>
    </row>
    <row r="561" spans="15:16" x14ac:dyDescent="0.45">
      <c r="O561">
        <v>560</v>
      </c>
      <c r="P561" s="10">
        <v>581353.49907697598</v>
      </c>
    </row>
    <row r="562" spans="15:16" x14ac:dyDescent="0.45">
      <c r="O562">
        <v>561</v>
      </c>
      <c r="P562" s="10">
        <v>550543.43289016676</v>
      </c>
    </row>
    <row r="563" spans="15:16" x14ac:dyDescent="0.45">
      <c r="O563">
        <v>562</v>
      </c>
      <c r="P563" s="10">
        <v>551816.82612393482</v>
      </c>
    </row>
    <row r="564" spans="15:16" x14ac:dyDescent="0.45">
      <c r="O564">
        <v>563</v>
      </c>
      <c r="P564" s="10">
        <v>546311.7192777514</v>
      </c>
    </row>
    <row r="565" spans="15:16" x14ac:dyDescent="0.45">
      <c r="O565">
        <v>564</v>
      </c>
      <c r="P565" s="10">
        <v>551347.41007689375</v>
      </c>
    </row>
    <row r="566" spans="15:16" x14ac:dyDescent="0.45">
      <c r="O566">
        <v>565</v>
      </c>
      <c r="P566" s="10">
        <v>579871.98180780932</v>
      </c>
    </row>
    <row r="567" spans="15:16" x14ac:dyDescent="0.45">
      <c r="O567">
        <v>566</v>
      </c>
      <c r="P567" s="10">
        <v>547605.49089628807</v>
      </c>
    </row>
    <row r="568" spans="15:16" x14ac:dyDescent="0.45">
      <c r="O568">
        <v>567</v>
      </c>
      <c r="P568" s="10">
        <v>575033.93637861358</v>
      </c>
    </row>
    <row r="569" spans="15:16" x14ac:dyDescent="0.45">
      <c r="O569">
        <v>568</v>
      </c>
      <c r="P569" s="10">
        <v>556677.14814667613</v>
      </c>
    </row>
    <row r="570" spans="15:16" x14ac:dyDescent="0.45">
      <c r="O570">
        <v>569</v>
      </c>
      <c r="P570" s="10">
        <v>561220.04634300922</v>
      </c>
    </row>
    <row r="571" spans="15:16" x14ac:dyDescent="0.45">
      <c r="O571">
        <v>570</v>
      </c>
      <c r="P571" s="10">
        <v>540102.90766188886</v>
      </c>
    </row>
    <row r="572" spans="15:16" x14ac:dyDescent="0.45">
      <c r="O572">
        <v>571</v>
      </c>
      <c r="P572" s="10">
        <v>549119.1533200324</v>
      </c>
    </row>
    <row r="573" spans="15:16" x14ac:dyDescent="0.45">
      <c r="O573">
        <v>572</v>
      </c>
      <c r="P573" s="10">
        <v>548367.64134419162</v>
      </c>
    </row>
    <row r="574" spans="15:16" x14ac:dyDescent="0.45">
      <c r="O574">
        <v>573</v>
      </c>
      <c r="P574" s="10">
        <v>554842.42294088693</v>
      </c>
    </row>
    <row r="575" spans="15:16" x14ac:dyDescent="0.45">
      <c r="O575">
        <v>574</v>
      </c>
      <c r="P575" s="10">
        <v>561532.26683367102</v>
      </c>
    </row>
    <row r="576" spans="15:16" x14ac:dyDescent="0.45">
      <c r="O576">
        <v>575</v>
      </c>
      <c r="P576" s="10">
        <v>551204.42318114114</v>
      </c>
    </row>
    <row r="577" spans="15:16" x14ac:dyDescent="0.45">
      <c r="O577">
        <v>576</v>
      </c>
      <c r="P577" s="10">
        <v>554106.0964798138</v>
      </c>
    </row>
    <row r="578" spans="15:16" x14ac:dyDescent="0.45">
      <c r="O578">
        <v>577</v>
      </c>
      <c r="P578" s="10">
        <v>552277.03155531338</v>
      </c>
    </row>
    <row r="579" spans="15:16" x14ac:dyDescent="0.45">
      <c r="O579">
        <v>578</v>
      </c>
      <c r="P579" s="10">
        <v>538409.24711830507</v>
      </c>
    </row>
    <row r="580" spans="15:16" x14ac:dyDescent="0.45">
      <c r="O580">
        <v>579</v>
      </c>
      <c r="P580" s="10">
        <v>562098.68880937085</v>
      </c>
    </row>
    <row r="581" spans="15:16" x14ac:dyDescent="0.45">
      <c r="O581">
        <v>580</v>
      </c>
      <c r="P581" s="10">
        <v>565039.62510195212</v>
      </c>
    </row>
    <row r="582" spans="15:16" x14ac:dyDescent="0.45">
      <c r="O582">
        <v>581</v>
      </c>
      <c r="P582" s="10">
        <v>561449.10775415692</v>
      </c>
    </row>
    <row r="583" spans="15:16" x14ac:dyDescent="0.45">
      <c r="O583">
        <v>582</v>
      </c>
      <c r="P583" s="10">
        <v>552874.20183821954</v>
      </c>
    </row>
    <row r="584" spans="15:16" x14ac:dyDescent="0.45">
      <c r="O584">
        <v>583</v>
      </c>
      <c r="P584" s="10">
        <v>565218.60377777147</v>
      </c>
    </row>
    <row r="585" spans="15:16" x14ac:dyDescent="0.45">
      <c r="O585">
        <v>584</v>
      </c>
      <c r="P585" s="10">
        <v>558823.99743987096</v>
      </c>
    </row>
    <row r="586" spans="15:16" x14ac:dyDescent="0.45">
      <c r="O586">
        <v>585</v>
      </c>
      <c r="P586" s="10">
        <v>530610.50852539274</v>
      </c>
    </row>
    <row r="587" spans="15:16" x14ac:dyDescent="0.45">
      <c r="O587">
        <v>586</v>
      </c>
      <c r="P587" s="10">
        <v>559876.34724825935</v>
      </c>
    </row>
    <row r="588" spans="15:16" x14ac:dyDescent="0.45">
      <c r="O588">
        <v>587</v>
      </c>
      <c r="P588" s="10">
        <v>557470.36824905057</v>
      </c>
    </row>
    <row r="589" spans="15:16" x14ac:dyDescent="0.45">
      <c r="O589">
        <v>588</v>
      </c>
      <c r="P589" s="10">
        <v>557550.38922883128</v>
      </c>
    </row>
    <row r="590" spans="15:16" x14ac:dyDescent="0.45">
      <c r="O590">
        <v>589</v>
      </c>
      <c r="P590" s="10">
        <v>558787.24036633607</v>
      </c>
    </row>
    <row r="591" spans="15:16" x14ac:dyDescent="0.45">
      <c r="O591">
        <v>590</v>
      </c>
      <c r="P591" s="10">
        <v>548126.3310723044</v>
      </c>
    </row>
    <row r="592" spans="15:16" x14ac:dyDescent="0.45">
      <c r="O592">
        <v>591</v>
      </c>
      <c r="P592" s="10">
        <v>554064.24337812013</v>
      </c>
    </row>
    <row r="593" spans="15:16" x14ac:dyDescent="0.45">
      <c r="O593">
        <v>592</v>
      </c>
      <c r="P593" s="10">
        <v>562233.09389094054</v>
      </c>
    </row>
    <row r="594" spans="15:16" x14ac:dyDescent="0.45">
      <c r="O594">
        <v>593</v>
      </c>
      <c r="P594" s="10">
        <v>562601.21731754136</v>
      </c>
    </row>
    <row r="595" spans="15:16" x14ac:dyDescent="0.45">
      <c r="O595">
        <v>594</v>
      </c>
      <c r="P595" s="10">
        <v>553906.37216571614</v>
      </c>
    </row>
    <row r="596" spans="15:16" x14ac:dyDescent="0.45">
      <c r="O596">
        <v>595</v>
      </c>
      <c r="P596" s="10">
        <v>578615.70187936584</v>
      </c>
    </row>
    <row r="597" spans="15:16" x14ac:dyDescent="0.45">
      <c r="O597">
        <v>596</v>
      </c>
      <c r="P597" s="10">
        <v>573901.05191731406</v>
      </c>
    </row>
    <row r="598" spans="15:16" x14ac:dyDescent="0.45">
      <c r="O598">
        <v>597</v>
      </c>
      <c r="P598" s="10">
        <v>557125.23002236814</v>
      </c>
    </row>
    <row r="599" spans="15:16" x14ac:dyDescent="0.45">
      <c r="O599">
        <v>598</v>
      </c>
      <c r="P599" s="10">
        <v>559638.5807167812</v>
      </c>
    </row>
    <row r="600" spans="15:16" x14ac:dyDescent="0.45">
      <c r="O600">
        <v>599</v>
      </c>
      <c r="P600" s="10">
        <v>568398.99818821007</v>
      </c>
    </row>
    <row r="601" spans="15:16" x14ac:dyDescent="0.45">
      <c r="O601">
        <v>600</v>
      </c>
      <c r="P601" s="10">
        <v>559703.00940959086</v>
      </c>
    </row>
    <row r="602" spans="15:16" x14ac:dyDescent="0.45">
      <c r="O602">
        <v>601</v>
      </c>
      <c r="P602" s="10">
        <v>569459.32195171679</v>
      </c>
    </row>
    <row r="603" spans="15:16" x14ac:dyDescent="0.45">
      <c r="O603">
        <v>602</v>
      </c>
      <c r="P603" s="10">
        <v>558593.74584402586</v>
      </c>
    </row>
    <row r="604" spans="15:16" x14ac:dyDescent="0.45">
      <c r="O604">
        <v>603</v>
      </c>
      <c r="P604" s="10">
        <v>572287.03144767205</v>
      </c>
    </row>
    <row r="605" spans="15:16" x14ac:dyDescent="0.45">
      <c r="O605">
        <v>604</v>
      </c>
      <c r="P605" s="10">
        <v>560435.04906610539</v>
      </c>
    </row>
    <row r="606" spans="15:16" x14ac:dyDescent="0.45">
      <c r="O606">
        <v>605</v>
      </c>
      <c r="P606" s="10">
        <v>580058.65474699286</v>
      </c>
    </row>
    <row r="607" spans="15:16" x14ac:dyDescent="0.45">
      <c r="O607">
        <v>606</v>
      </c>
      <c r="P607" s="10">
        <v>558628.51726867934</v>
      </c>
    </row>
    <row r="608" spans="15:16" x14ac:dyDescent="0.45">
      <c r="O608">
        <v>607</v>
      </c>
      <c r="P608" s="10">
        <v>568297.72861327219</v>
      </c>
    </row>
    <row r="609" spans="15:16" x14ac:dyDescent="0.45">
      <c r="O609">
        <v>608</v>
      </c>
      <c r="P609" s="10">
        <v>579469.36391143349</v>
      </c>
    </row>
    <row r="610" spans="15:16" x14ac:dyDescent="0.45">
      <c r="O610">
        <v>609</v>
      </c>
      <c r="P610" s="10">
        <v>561034.05067956005</v>
      </c>
    </row>
    <row r="611" spans="15:16" x14ac:dyDescent="0.45">
      <c r="O611">
        <v>610</v>
      </c>
      <c r="P611" s="10">
        <v>583978.64770382049</v>
      </c>
    </row>
    <row r="612" spans="15:16" x14ac:dyDescent="0.45">
      <c r="O612">
        <v>611</v>
      </c>
      <c r="P612" s="10">
        <v>572231.12970457855</v>
      </c>
    </row>
    <row r="613" spans="15:16" x14ac:dyDescent="0.45">
      <c r="O613">
        <v>612</v>
      </c>
      <c r="P613" s="10">
        <v>573582.25252819096</v>
      </c>
    </row>
    <row r="614" spans="15:16" x14ac:dyDescent="0.45">
      <c r="O614">
        <v>613</v>
      </c>
      <c r="P614" s="10">
        <v>571115.41274571139</v>
      </c>
    </row>
    <row r="615" spans="15:16" x14ac:dyDescent="0.45">
      <c r="O615">
        <v>614</v>
      </c>
      <c r="P615" s="10">
        <v>535844.41478135029</v>
      </c>
    </row>
    <row r="616" spans="15:16" x14ac:dyDescent="0.45">
      <c r="O616">
        <v>615</v>
      </c>
      <c r="P616" s="10">
        <v>567953.94617084775</v>
      </c>
    </row>
    <row r="617" spans="15:16" x14ac:dyDescent="0.45">
      <c r="O617">
        <v>616</v>
      </c>
      <c r="P617" s="10">
        <v>580455.45956246636</v>
      </c>
    </row>
    <row r="618" spans="15:16" x14ac:dyDescent="0.45">
      <c r="O618">
        <v>617</v>
      </c>
      <c r="P618" s="10">
        <v>574386.78511830897</v>
      </c>
    </row>
    <row r="619" spans="15:16" x14ac:dyDescent="0.45">
      <c r="O619">
        <v>618</v>
      </c>
      <c r="P619" s="10">
        <v>559847.25093465822</v>
      </c>
    </row>
    <row r="620" spans="15:16" x14ac:dyDescent="0.45">
      <c r="O620">
        <v>619</v>
      </c>
      <c r="P620" s="10">
        <v>578774.25203531538</v>
      </c>
    </row>
    <row r="621" spans="15:16" x14ac:dyDescent="0.45">
      <c r="O621">
        <v>620</v>
      </c>
      <c r="P621" s="10">
        <v>568367.46453869564</v>
      </c>
    </row>
    <row r="622" spans="15:16" x14ac:dyDescent="0.45">
      <c r="O622">
        <v>621</v>
      </c>
      <c r="P622" s="10">
        <v>537508.34615974245</v>
      </c>
    </row>
    <row r="623" spans="15:16" x14ac:dyDescent="0.45">
      <c r="O623">
        <v>622</v>
      </c>
      <c r="P623" s="10">
        <v>550807.87708018813</v>
      </c>
    </row>
    <row r="624" spans="15:16" x14ac:dyDescent="0.45">
      <c r="O624">
        <v>623</v>
      </c>
      <c r="P624" s="10">
        <v>568130.09115404182</v>
      </c>
    </row>
    <row r="625" spans="15:16" x14ac:dyDescent="0.45">
      <c r="O625">
        <v>624</v>
      </c>
      <c r="P625" s="10">
        <v>559251.37508762674</v>
      </c>
    </row>
    <row r="626" spans="15:16" x14ac:dyDescent="0.45">
      <c r="O626">
        <v>625</v>
      </c>
      <c r="P626" s="10">
        <v>546080.50352823676</v>
      </c>
    </row>
    <row r="627" spans="15:16" x14ac:dyDescent="0.45">
      <c r="O627">
        <v>626</v>
      </c>
      <c r="P627" s="10">
        <v>558956.71290377853</v>
      </c>
    </row>
    <row r="628" spans="15:16" x14ac:dyDescent="0.45">
      <c r="O628">
        <v>627</v>
      </c>
      <c r="P628" s="10">
        <v>560324.79807164974</v>
      </c>
    </row>
    <row r="629" spans="15:16" x14ac:dyDescent="0.45">
      <c r="O629">
        <v>628</v>
      </c>
      <c r="P629" s="10">
        <v>570644.52442066162</v>
      </c>
    </row>
    <row r="630" spans="15:16" x14ac:dyDescent="0.45">
      <c r="O630">
        <v>629</v>
      </c>
      <c r="P630" s="10">
        <v>544409.13699255895</v>
      </c>
    </row>
    <row r="631" spans="15:16" x14ac:dyDescent="0.45">
      <c r="O631">
        <v>630</v>
      </c>
      <c r="P631" s="10">
        <v>547085.84385408426</v>
      </c>
    </row>
    <row r="632" spans="15:16" x14ac:dyDescent="0.45">
      <c r="O632">
        <v>631</v>
      </c>
      <c r="P632" s="10">
        <v>545187.64368687756</v>
      </c>
    </row>
    <row r="633" spans="15:16" x14ac:dyDescent="0.45">
      <c r="O633">
        <v>632</v>
      </c>
      <c r="P633" s="10">
        <v>579774.75070718839</v>
      </c>
    </row>
    <row r="634" spans="15:16" x14ac:dyDescent="0.45">
      <c r="O634">
        <v>633</v>
      </c>
      <c r="P634" s="10">
        <v>586971.57085363264</v>
      </c>
    </row>
    <row r="635" spans="15:16" x14ac:dyDescent="0.45">
      <c r="O635">
        <v>634</v>
      </c>
      <c r="P635" s="10">
        <v>560238.30765931297</v>
      </c>
    </row>
    <row r="636" spans="15:16" x14ac:dyDescent="0.45">
      <c r="O636">
        <v>635</v>
      </c>
      <c r="P636" s="10">
        <v>570402.80747388536</v>
      </c>
    </row>
    <row r="637" spans="15:16" x14ac:dyDescent="0.45">
      <c r="O637">
        <v>636</v>
      </c>
      <c r="P637" s="10">
        <v>544856.58707684209</v>
      </c>
    </row>
    <row r="638" spans="15:16" x14ac:dyDescent="0.45">
      <c r="O638">
        <v>637</v>
      </c>
      <c r="P638" s="10">
        <v>587624.37219984736</v>
      </c>
    </row>
    <row r="639" spans="15:16" x14ac:dyDescent="0.45">
      <c r="O639">
        <v>638</v>
      </c>
      <c r="P639" s="10">
        <v>585545.40178385668</v>
      </c>
    </row>
    <row r="640" spans="15:16" x14ac:dyDescent="0.45">
      <c r="O640">
        <v>639</v>
      </c>
      <c r="P640" s="10">
        <v>584941.57303564204</v>
      </c>
    </row>
    <row r="641" spans="15:16" x14ac:dyDescent="0.45">
      <c r="O641">
        <v>640</v>
      </c>
      <c r="P641" s="10">
        <v>561946.69315967301</v>
      </c>
    </row>
    <row r="642" spans="15:16" x14ac:dyDescent="0.45">
      <c r="O642">
        <v>641</v>
      </c>
      <c r="P642" s="10">
        <v>561034.78232197487</v>
      </c>
    </row>
    <row r="643" spans="15:16" x14ac:dyDescent="0.45">
      <c r="O643">
        <v>642</v>
      </c>
      <c r="P643" s="10">
        <v>573849.2627525992</v>
      </c>
    </row>
    <row r="644" spans="15:16" x14ac:dyDescent="0.45">
      <c r="O644">
        <v>643</v>
      </c>
      <c r="P644" s="10">
        <v>574262.64041683846</v>
      </c>
    </row>
    <row r="645" spans="15:16" x14ac:dyDescent="0.45">
      <c r="O645">
        <v>644</v>
      </c>
      <c r="P645" s="10">
        <v>558734.05423217348</v>
      </c>
    </row>
    <row r="646" spans="15:16" x14ac:dyDescent="0.45">
      <c r="O646">
        <v>645</v>
      </c>
      <c r="P646" s="10">
        <v>557711.13583744923</v>
      </c>
    </row>
    <row r="647" spans="15:16" x14ac:dyDescent="0.45">
      <c r="O647">
        <v>646</v>
      </c>
      <c r="P647" s="10">
        <v>555833.49700421735</v>
      </c>
    </row>
    <row r="648" spans="15:16" x14ac:dyDescent="0.45">
      <c r="O648">
        <v>647</v>
      </c>
      <c r="P648" s="10">
        <v>545019.67632955872</v>
      </c>
    </row>
    <row r="649" spans="15:16" x14ac:dyDescent="0.45">
      <c r="O649">
        <v>648</v>
      </c>
      <c r="P649" s="10">
        <v>560098.1004384025</v>
      </c>
    </row>
    <row r="650" spans="15:16" x14ac:dyDescent="0.45">
      <c r="O650">
        <v>649</v>
      </c>
      <c r="P650" s="10">
        <v>576213.70241908904</v>
      </c>
    </row>
    <row r="651" spans="15:16" x14ac:dyDescent="0.45">
      <c r="O651">
        <v>650</v>
      </c>
      <c r="P651" s="10">
        <v>555938.45035130112</v>
      </c>
    </row>
    <row r="652" spans="15:16" x14ac:dyDescent="0.45">
      <c r="O652">
        <v>651</v>
      </c>
      <c r="P652" s="10">
        <v>573875.2427310081</v>
      </c>
    </row>
    <row r="653" spans="15:16" x14ac:dyDescent="0.45">
      <c r="O653">
        <v>652</v>
      </c>
      <c r="P653" s="10">
        <v>537011.82774944417</v>
      </c>
    </row>
    <row r="654" spans="15:16" x14ac:dyDescent="0.45">
      <c r="O654">
        <v>653</v>
      </c>
      <c r="P654" s="10">
        <v>558890.43501362659</v>
      </c>
    </row>
    <row r="655" spans="15:16" x14ac:dyDescent="0.45">
      <c r="O655">
        <v>654</v>
      </c>
      <c r="P655" s="10">
        <v>582574.60854663583</v>
      </c>
    </row>
    <row r="656" spans="15:16" x14ac:dyDescent="0.45">
      <c r="O656">
        <v>655</v>
      </c>
      <c r="P656" s="10">
        <v>561038.8846549259</v>
      </c>
    </row>
    <row r="657" spans="15:16" x14ac:dyDescent="0.45">
      <c r="O657">
        <v>656</v>
      </c>
      <c r="P657" s="10">
        <v>573182.51514925004</v>
      </c>
    </row>
    <row r="658" spans="15:16" x14ac:dyDescent="0.45">
      <c r="O658">
        <v>657</v>
      </c>
      <c r="P658" s="10">
        <v>562752.39988876285</v>
      </c>
    </row>
    <row r="659" spans="15:16" x14ac:dyDescent="0.45">
      <c r="O659">
        <v>658</v>
      </c>
      <c r="P659" s="10">
        <v>584587.10019294056</v>
      </c>
    </row>
    <row r="660" spans="15:16" x14ac:dyDescent="0.45">
      <c r="O660">
        <v>659</v>
      </c>
      <c r="P660" s="10">
        <v>557889.17744735721</v>
      </c>
    </row>
    <row r="661" spans="15:16" x14ac:dyDescent="0.45">
      <c r="O661">
        <v>660</v>
      </c>
      <c r="P661" s="10">
        <v>561916.56091468106</v>
      </c>
    </row>
    <row r="662" spans="15:16" x14ac:dyDescent="0.45">
      <c r="O662">
        <v>661</v>
      </c>
      <c r="P662" s="10">
        <v>542330.18113701162</v>
      </c>
    </row>
    <row r="663" spans="15:16" x14ac:dyDescent="0.45">
      <c r="O663">
        <v>662</v>
      </c>
      <c r="P663" s="10">
        <v>554727.86588725029</v>
      </c>
    </row>
    <row r="664" spans="15:16" x14ac:dyDescent="0.45">
      <c r="O664">
        <v>663</v>
      </c>
      <c r="P664" s="10">
        <v>570461.58959083504</v>
      </c>
    </row>
    <row r="665" spans="15:16" x14ac:dyDescent="0.45">
      <c r="O665">
        <v>664</v>
      </c>
      <c r="P665" s="10">
        <v>558832.55417435966</v>
      </c>
    </row>
    <row r="666" spans="15:16" x14ac:dyDescent="0.45">
      <c r="O666">
        <v>665</v>
      </c>
      <c r="P666" s="10">
        <v>536988.64895543852</v>
      </c>
    </row>
    <row r="667" spans="15:16" x14ac:dyDescent="0.45">
      <c r="O667">
        <v>666</v>
      </c>
      <c r="P667" s="10">
        <v>542241.23537284578</v>
      </c>
    </row>
    <row r="668" spans="15:16" x14ac:dyDescent="0.45">
      <c r="O668">
        <v>667</v>
      </c>
      <c r="P668" s="10">
        <v>574975.60841035435</v>
      </c>
    </row>
    <row r="669" spans="15:16" x14ac:dyDescent="0.45">
      <c r="O669">
        <v>668</v>
      </c>
      <c r="P669" s="10">
        <v>559774.43325849075</v>
      </c>
    </row>
    <row r="670" spans="15:16" x14ac:dyDescent="0.45">
      <c r="O670">
        <v>669</v>
      </c>
      <c r="P670" s="10">
        <v>561463.93035255675</v>
      </c>
    </row>
    <row r="671" spans="15:16" x14ac:dyDescent="0.45">
      <c r="O671">
        <v>670</v>
      </c>
      <c r="P671" s="10">
        <v>583957.28628244845</v>
      </c>
    </row>
    <row r="672" spans="15:16" x14ac:dyDescent="0.45">
      <c r="O672">
        <v>671</v>
      </c>
      <c r="P672" s="10">
        <v>535299.27399937774</v>
      </c>
    </row>
    <row r="673" spans="15:16" x14ac:dyDescent="0.45">
      <c r="O673">
        <v>672</v>
      </c>
      <c r="P673" s="10">
        <v>580503.02528094011</v>
      </c>
    </row>
    <row r="674" spans="15:16" x14ac:dyDescent="0.45">
      <c r="O674">
        <v>673</v>
      </c>
      <c r="P674" s="10">
        <v>554123.69196085457</v>
      </c>
    </row>
    <row r="675" spans="15:16" x14ac:dyDescent="0.45">
      <c r="O675">
        <v>674</v>
      </c>
      <c r="P675" s="10">
        <v>574661.45112096088</v>
      </c>
    </row>
    <row r="676" spans="15:16" x14ac:dyDescent="0.45">
      <c r="O676">
        <v>675</v>
      </c>
      <c r="P676" s="10">
        <v>556072.63957143843</v>
      </c>
    </row>
    <row r="677" spans="15:16" x14ac:dyDescent="0.45">
      <c r="O677">
        <v>676</v>
      </c>
      <c r="P677" s="10">
        <v>554087.71038996766</v>
      </c>
    </row>
    <row r="678" spans="15:16" x14ac:dyDescent="0.45">
      <c r="O678">
        <v>677</v>
      </c>
      <c r="P678" s="10">
        <v>575531.00918246177</v>
      </c>
    </row>
    <row r="679" spans="15:16" x14ac:dyDescent="0.45">
      <c r="O679">
        <v>678</v>
      </c>
      <c r="P679" s="10">
        <v>545736.3613447774</v>
      </c>
    </row>
    <row r="680" spans="15:16" x14ac:dyDescent="0.45">
      <c r="O680">
        <v>679</v>
      </c>
      <c r="P680" s="10">
        <v>552957.2790287229</v>
      </c>
    </row>
    <row r="681" spans="15:16" x14ac:dyDescent="0.45">
      <c r="O681">
        <v>680</v>
      </c>
      <c r="P681" s="10">
        <v>564590.43884118227</v>
      </c>
    </row>
    <row r="682" spans="15:16" x14ac:dyDescent="0.45">
      <c r="O682">
        <v>681</v>
      </c>
      <c r="P682" s="10">
        <v>542097.07295775681</v>
      </c>
    </row>
    <row r="683" spans="15:16" x14ac:dyDescent="0.45">
      <c r="O683">
        <v>682</v>
      </c>
      <c r="P683" s="10">
        <v>570049.62538864883</v>
      </c>
    </row>
    <row r="684" spans="15:16" x14ac:dyDescent="0.45">
      <c r="O684">
        <v>683</v>
      </c>
      <c r="P684" s="10">
        <v>553700.04843266343</v>
      </c>
    </row>
    <row r="685" spans="15:16" x14ac:dyDescent="0.45">
      <c r="O685">
        <v>684</v>
      </c>
      <c r="P685" s="10">
        <v>549478.35949510126</v>
      </c>
    </row>
    <row r="686" spans="15:16" x14ac:dyDescent="0.45">
      <c r="O686">
        <v>685</v>
      </c>
      <c r="P686" s="10">
        <v>561955.77484199009</v>
      </c>
    </row>
    <row r="687" spans="15:16" x14ac:dyDescent="0.45">
      <c r="O687">
        <v>686</v>
      </c>
      <c r="P687" s="10">
        <v>560396.43971717346</v>
      </c>
    </row>
    <row r="688" spans="15:16" x14ac:dyDescent="0.45">
      <c r="O688">
        <v>687</v>
      </c>
      <c r="P688" s="10">
        <v>558328.15402343345</v>
      </c>
    </row>
    <row r="689" spans="15:16" x14ac:dyDescent="0.45">
      <c r="O689">
        <v>688</v>
      </c>
      <c r="P689" s="10">
        <v>537587.21280164819</v>
      </c>
    </row>
    <row r="690" spans="15:16" x14ac:dyDescent="0.45">
      <c r="O690">
        <v>689</v>
      </c>
      <c r="P690" s="10">
        <v>553456.06396120426</v>
      </c>
    </row>
    <row r="691" spans="15:16" x14ac:dyDescent="0.45">
      <c r="O691">
        <v>690</v>
      </c>
      <c r="P691" s="10">
        <v>548212.82890563877</v>
      </c>
    </row>
    <row r="692" spans="15:16" x14ac:dyDescent="0.45">
      <c r="O692">
        <v>691</v>
      </c>
      <c r="P692" s="10">
        <v>562193.29643748433</v>
      </c>
    </row>
    <row r="693" spans="15:16" x14ac:dyDescent="0.45">
      <c r="O693">
        <v>692</v>
      </c>
      <c r="P693" s="10">
        <v>553592.25512146403</v>
      </c>
    </row>
    <row r="694" spans="15:16" x14ac:dyDescent="0.45">
      <c r="O694">
        <v>693</v>
      </c>
      <c r="P694" s="10">
        <v>557209.45447658002</v>
      </c>
    </row>
    <row r="695" spans="15:16" x14ac:dyDescent="0.45">
      <c r="O695">
        <v>694</v>
      </c>
      <c r="P695" s="10">
        <v>569195.10502285673</v>
      </c>
    </row>
    <row r="696" spans="15:16" x14ac:dyDescent="0.45">
      <c r="O696">
        <v>695</v>
      </c>
      <c r="P696" s="10">
        <v>563634.85146846785</v>
      </c>
    </row>
    <row r="697" spans="15:16" x14ac:dyDescent="0.45">
      <c r="O697">
        <v>696</v>
      </c>
      <c r="P697" s="10">
        <v>527598.01793326612</v>
      </c>
    </row>
    <row r="698" spans="15:16" x14ac:dyDescent="0.45">
      <c r="O698">
        <v>697</v>
      </c>
      <c r="P698" s="10">
        <v>546531.36671583448</v>
      </c>
    </row>
    <row r="699" spans="15:16" x14ac:dyDescent="0.45">
      <c r="O699">
        <v>698</v>
      </c>
      <c r="P699" s="10">
        <v>579035.92333876551</v>
      </c>
    </row>
    <row r="700" spans="15:16" x14ac:dyDescent="0.45">
      <c r="O700">
        <v>699</v>
      </c>
      <c r="P700" s="10">
        <v>549861.38954626245</v>
      </c>
    </row>
    <row r="701" spans="15:16" x14ac:dyDescent="0.45">
      <c r="O701">
        <v>700</v>
      </c>
      <c r="P701" s="10">
        <v>551574.60735904577</v>
      </c>
    </row>
    <row r="702" spans="15:16" x14ac:dyDescent="0.45">
      <c r="O702">
        <v>701</v>
      </c>
      <c r="P702" s="10">
        <v>579047.66956091451</v>
      </c>
    </row>
    <row r="703" spans="15:16" x14ac:dyDescent="0.45">
      <c r="O703">
        <v>702</v>
      </c>
      <c r="P703" s="10">
        <v>574478.19573158445</v>
      </c>
    </row>
    <row r="704" spans="15:16" x14ac:dyDescent="0.45">
      <c r="O704">
        <v>703</v>
      </c>
      <c r="P704" s="10">
        <v>576541.92118726717</v>
      </c>
    </row>
    <row r="705" spans="15:16" x14ac:dyDescent="0.45">
      <c r="O705">
        <v>704</v>
      </c>
      <c r="P705" s="10">
        <v>580302.85064302338</v>
      </c>
    </row>
    <row r="706" spans="15:16" x14ac:dyDescent="0.45">
      <c r="O706">
        <v>705</v>
      </c>
      <c r="P706" s="10">
        <v>547544.99001661432</v>
      </c>
    </row>
    <row r="707" spans="15:16" x14ac:dyDescent="0.45">
      <c r="O707">
        <v>706</v>
      </c>
      <c r="P707" s="10">
        <v>551565.29674091365</v>
      </c>
    </row>
    <row r="708" spans="15:16" x14ac:dyDescent="0.45">
      <c r="O708">
        <v>707</v>
      </c>
      <c r="P708" s="10">
        <v>558222.82050778938</v>
      </c>
    </row>
    <row r="709" spans="15:16" x14ac:dyDescent="0.45">
      <c r="O709">
        <v>708</v>
      </c>
      <c r="P709" s="10">
        <v>565675.75465853559</v>
      </c>
    </row>
    <row r="710" spans="15:16" x14ac:dyDescent="0.45">
      <c r="O710">
        <v>709</v>
      </c>
      <c r="P710" s="10">
        <v>551513.49887393031</v>
      </c>
    </row>
    <row r="711" spans="15:16" x14ac:dyDescent="0.45">
      <c r="O711">
        <v>710</v>
      </c>
      <c r="P711" s="10">
        <v>555030.97580801183</v>
      </c>
    </row>
    <row r="712" spans="15:16" x14ac:dyDescent="0.45">
      <c r="O712">
        <v>711</v>
      </c>
      <c r="P712" s="10">
        <v>566869.90020061249</v>
      </c>
    </row>
    <row r="713" spans="15:16" x14ac:dyDescent="0.45">
      <c r="O713">
        <v>712</v>
      </c>
      <c r="P713" s="10">
        <v>559050.66460977506</v>
      </c>
    </row>
    <row r="714" spans="15:16" x14ac:dyDescent="0.45">
      <c r="O714">
        <v>713</v>
      </c>
      <c r="P714" s="10">
        <v>567443.02302537754</v>
      </c>
    </row>
    <row r="715" spans="15:16" x14ac:dyDescent="0.45">
      <c r="O715">
        <v>714</v>
      </c>
      <c r="P715" s="10">
        <v>573063.66696785868</v>
      </c>
    </row>
    <row r="716" spans="15:16" x14ac:dyDescent="0.45">
      <c r="O716">
        <v>715</v>
      </c>
      <c r="P716" s="10">
        <v>557083.47466630291</v>
      </c>
    </row>
    <row r="717" spans="15:16" x14ac:dyDescent="0.45">
      <c r="O717">
        <v>716</v>
      </c>
      <c r="P717" s="10">
        <v>565971.09882400336</v>
      </c>
    </row>
    <row r="718" spans="15:16" x14ac:dyDescent="0.45">
      <c r="O718">
        <v>717</v>
      </c>
      <c r="P718" s="10">
        <v>559556.60440141009</v>
      </c>
    </row>
    <row r="719" spans="15:16" x14ac:dyDescent="0.45">
      <c r="O719">
        <v>718</v>
      </c>
      <c r="P719" s="10">
        <v>565442.60575281107</v>
      </c>
    </row>
    <row r="720" spans="15:16" x14ac:dyDescent="0.45">
      <c r="O720">
        <v>719</v>
      </c>
      <c r="P720" s="10">
        <v>556356.27155045443</v>
      </c>
    </row>
    <row r="721" spans="15:16" x14ac:dyDescent="0.45">
      <c r="O721">
        <v>720</v>
      </c>
      <c r="P721" s="10">
        <v>541947.94199885486</v>
      </c>
    </row>
    <row r="722" spans="15:16" x14ac:dyDescent="0.45">
      <c r="O722">
        <v>721</v>
      </c>
      <c r="P722" s="10">
        <v>577860.91489129467</v>
      </c>
    </row>
    <row r="723" spans="15:16" x14ac:dyDescent="0.45">
      <c r="O723">
        <v>722</v>
      </c>
      <c r="P723" s="10">
        <v>540773.2056452746</v>
      </c>
    </row>
    <row r="724" spans="15:16" x14ac:dyDescent="0.45">
      <c r="O724">
        <v>723</v>
      </c>
      <c r="P724" s="10">
        <v>566759.0612791928</v>
      </c>
    </row>
    <row r="725" spans="15:16" x14ac:dyDescent="0.45">
      <c r="O725">
        <v>724</v>
      </c>
      <c r="P725" s="10">
        <v>544039.07326247531</v>
      </c>
    </row>
    <row r="726" spans="15:16" x14ac:dyDescent="0.45">
      <c r="O726">
        <v>725</v>
      </c>
      <c r="P726" s="10">
        <v>556320.23152280552</v>
      </c>
    </row>
    <row r="727" spans="15:16" x14ac:dyDescent="0.45">
      <c r="O727">
        <v>726</v>
      </c>
      <c r="P727" s="10">
        <v>568890.15486635151</v>
      </c>
    </row>
    <row r="728" spans="15:16" x14ac:dyDescent="0.45">
      <c r="O728">
        <v>727</v>
      </c>
      <c r="P728" s="10">
        <v>575965.96771127032</v>
      </c>
    </row>
    <row r="729" spans="15:16" x14ac:dyDescent="0.45">
      <c r="O729">
        <v>728</v>
      </c>
      <c r="P729" s="10">
        <v>578152.76291205944</v>
      </c>
    </row>
    <row r="730" spans="15:16" x14ac:dyDescent="0.45">
      <c r="O730">
        <v>729</v>
      </c>
      <c r="P730" s="10">
        <v>557974.83804950165</v>
      </c>
    </row>
    <row r="731" spans="15:16" x14ac:dyDescent="0.45">
      <c r="O731">
        <v>730</v>
      </c>
      <c r="P731" s="10">
        <v>568350.36291441333</v>
      </c>
    </row>
    <row r="732" spans="15:16" x14ac:dyDescent="0.45">
      <c r="O732">
        <v>731</v>
      </c>
      <c r="P732" s="10">
        <v>549489.160780987</v>
      </c>
    </row>
    <row r="733" spans="15:16" x14ac:dyDescent="0.45">
      <c r="O733">
        <v>732</v>
      </c>
      <c r="P733" s="10">
        <v>555103.73545408587</v>
      </c>
    </row>
    <row r="734" spans="15:16" x14ac:dyDescent="0.45">
      <c r="O734">
        <v>733</v>
      </c>
      <c r="P734" s="10">
        <v>550235.84011415322</v>
      </c>
    </row>
    <row r="735" spans="15:16" x14ac:dyDescent="0.45">
      <c r="O735">
        <v>734</v>
      </c>
      <c r="P735" s="10">
        <v>546356.49070385599</v>
      </c>
    </row>
    <row r="736" spans="15:16" x14ac:dyDescent="0.45">
      <c r="O736">
        <v>735</v>
      </c>
      <c r="P736" s="10">
        <v>558391.65281376068</v>
      </c>
    </row>
    <row r="737" spans="15:16" x14ac:dyDescent="0.45">
      <c r="O737">
        <v>736</v>
      </c>
      <c r="P737" s="10">
        <v>555964.04298069386</v>
      </c>
    </row>
    <row r="738" spans="15:16" x14ac:dyDescent="0.45">
      <c r="O738">
        <v>737</v>
      </c>
      <c r="P738" s="10">
        <v>568303.68807415164</v>
      </c>
    </row>
    <row r="739" spans="15:16" x14ac:dyDescent="0.45">
      <c r="O739">
        <v>738</v>
      </c>
      <c r="P739" s="10">
        <v>570233.44730279024</v>
      </c>
    </row>
    <row r="740" spans="15:16" x14ac:dyDescent="0.45">
      <c r="O740">
        <v>739</v>
      </c>
      <c r="P740" s="10">
        <v>558028.58727034065</v>
      </c>
    </row>
    <row r="741" spans="15:16" x14ac:dyDescent="0.45">
      <c r="O741">
        <v>740</v>
      </c>
      <c r="P741" s="10">
        <v>563020.97751967248</v>
      </c>
    </row>
    <row r="742" spans="15:16" x14ac:dyDescent="0.45">
      <c r="O742">
        <v>741</v>
      </c>
      <c r="P742" s="10">
        <v>579515.64125600108</v>
      </c>
    </row>
    <row r="743" spans="15:16" x14ac:dyDescent="0.45">
      <c r="O743">
        <v>742</v>
      </c>
      <c r="P743" s="10">
        <v>578276.27361886518</v>
      </c>
    </row>
    <row r="744" spans="15:16" x14ac:dyDescent="0.45">
      <c r="O744">
        <v>743</v>
      </c>
      <c r="P744" s="10">
        <v>548759.16804906668</v>
      </c>
    </row>
    <row r="745" spans="15:16" x14ac:dyDescent="0.45">
      <c r="O745">
        <v>744</v>
      </c>
      <c r="P745" s="10">
        <v>549352.02782416204</v>
      </c>
    </row>
    <row r="746" spans="15:16" x14ac:dyDescent="0.45">
      <c r="O746">
        <v>745</v>
      </c>
      <c r="P746" s="10">
        <v>556164.39538619306</v>
      </c>
    </row>
    <row r="747" spans="15:16" x14ac:dyDescent="0.45">
      <c r="O747">
        <v>746</v>
      </c>
      <c r="P747" s="10">
        <v>556271.28102096322</v>
      </c>
    </row>
    <row r="748" spans="15:16" x14ac:dyDescent="0.45">
      <c r="O748">
        <v>747</v>
      </c>
      <c r="P748" s="10">
        <v>544656.35964370728</v>
      </c>
    </row>
    <row r="749" spans="15:16" x14ac:dyDescent="0.45">
      <c r="O749">
        <v>748</v>
      </c>
      <c r="P749" s="10">
        <v>540707.01159180049</v>
      </c>
    </row>
    <row r="750" spans="15:16" x14ac:dyDescent="0.45">
      <c r="O750">
        <v>749</v>
      </c>
      <c r="P750" s="10">
        <v>582001.69395425275</v>
      </c>
    </row>
    <row r="751" spans="15:16" x14ac:dyDescent="0.45">
      <c r="O751">
        <v>750</v>
      </c>
      <c r="P751" s="10">
        <v>556271.43119923177</v>
      </c>
    </row>
    <row r="752" spans="15:16" x14ac:dyDescent="0.45">
      <c r="O752">
        <v>751</v>
      </c>
      <c r="P752" s="10">
        <v>549662.43168123183</v>
      </c>
    </row>
    <row r="753" spans="15:16" x14ac:dyDescent="0.45">
      <c r="O753">
        <v>752</v>
      </c>
      <c r="P753" s="10">
        <v>549458.83911239263</v>
      </c>
    </row>
    <row r="754" spans="15:16" x14ac:dyDescent="0.45">
      <c r="O754">
        <v>753</v>
      </c>
      <c r="P754" s="10">
        <v>552561.799130901</v>
      </c>
    </row>
    <row r="755" spans="15:16" x14ac:dyDescent="0.45">
      <c r="O755">
        <v>754</v>
      </c>
      <c r="P755" s="10">
        <v>555623.42879208468</v>
      </c>
    </row>
    <row r="756" spans="15:16" x14ac:dyDescent="0.45">
      <c r="O756">
        <v>755</v>
      </c>
      <c r="P756" s="10">
        <v>550019.07881771855</v>
      </c>
    </row>
    <row r="757" spans="15:16" x14ac:dyDescent="0.45">
      <c r="O757">
        <v>756</v>
      </c>
      <c r="P757" s="10">
        <v>542046.52161270811</v>
      </c>
    </row>
    <row r="758" spans="15:16" x14ac:dyDescent="0.45">
      <c r="O758">
        <v>757</v>
      </c>
      <c r="P758" s="10">
        <v>564676.93227068672</v>
      </c>
    </row>
    <row r="759" spans="15:16" x14ac:dyDescent="0.45">
      <c r="O759">
        <v>758</v>
      </c>
      <c r="P759" s="10">
        <v>565570.50172266678</v>
      </c>
    </row>
    <row r="760" spans="15:16" x14ac:dyDescent="0.45">
      <c r="O760">
        <v>759</v>
      </c>
      <c r="P760" s="10">
        <v>568108.79860532423</v>
      </c>
    </row>
    <row r="761" spans="15:16" x14ac:dyDescent="0.45">
      <c r="O761">
        <v>760</v>
      </c>
      <c r="P761" s="10">
        <v>572352.40569323546</v>
      </c>
    </row>
    <row r="762" spans="15:16" x14ac:dyDescent="0.45">
      <c r="O762">
        <v>761</v>
      </c>
      <c r="P762" s="10">
        <v>557317.56728039403</v>
      </c>
    </row>
    <row r="763" spans="15:16" x14ac:dyDescent="0.45">
      <c r="O763">
        <v>762</v>
      </c>
      <c r="P763" s="10">
        <v>568448.12700907071</v>
      </c>
    </row>
    <row r="764" spans="15:16" x14ac:dyDescent="0.45">
      <c r="O764">
        <v>763</v>
      </c>
      <c r="P764" s="10">
        <v>577604.95961701835</v>
      </c>
    </row>
    <row r="765" spans="15:16" x14ac:dyDescent="0.45">
      <c r="O765">
        <v>764</v>
      </c>
      <c r="P765" s="10">
        <v>582118.17084914935</v>
      </c>
    </row>
    <row r="766" spans="15:16" x14ac:dyDescent="0.45">
      <c r="O766">
        <v>765</v>
      </c>
      <c r="P766" s="10">
        <v>554232.36070222186</v>
      </c>
    </row>
    <row r="767" spans="15:16" x14ac:dyDescent="0.45">
      <c r="O767">
        <v>766</v>
      </c>
      <c r="P767" s="10">
        <v>570045.67271276051</v>
      </c>
    </row>
    <row r="768" spans="15:16" x14ac:dyDescent="0.45">
      <c r="O768">
        <v>767</v>
      </c>
      <c r="P768" s="10">
        <v>569399.67641103105</v>
      </c>
    </row>
    <row r="769" spans="15:16" x14ac:dyDescent="0.45">
      <c r="O769">
        <v>768</v>
      </c>
      <c r="P769" s="10">
        <v>561674.5130244121</v>
      </c>
    </row>
    <row r="770" spans="15:16" x14ac:dyDescent="0.45">
      <c r="O770">
        <v>769</v>
      </c>
      <c r="P770" s="10">
        <v>557958.37005601171</v>
      </c>
    </row>
    <row r="771" spans="15:16" x14ac:dyDescent="0.45">
      <c r="O771">
        <v>770</v>
      </c>
      <c r="P771" s="10">
        <v>561666.9370738049</v>
      </c>
    </row>
    <row r="772" spans="15:16" x14ac:dyDescent="0.45">
      <c r="O772">
        <v>771</v>
      </c>
      <c r="P772" s="10">
        <v>554528.36279413558</v>
      </c>
    </row>
    <row r="773" spans="15:16" x14ac:dyDescent="0.45">
      <c r="O773">
        <v>772</v>
      </c>
      <c r="P773" s="10">
        <v>534702.30721895117</v>
      </c>
    </row>
    <row r="774" spans="15:16" x14ac:dyDescent="0.45">
      <c r="O774">
        <v>773</v>
      </c>
      <c r="P774" s="10">
        <v>544268.63909390825</v>
      </c>
    </row>
    <row r="775" spans="15:16" x14ac:dyDescent="0.45">
      <c r="O775">
        <v>774</v>
      </c>
      <c r="P775" s="10">
        <v>563541.6628937705</v>
      </c>
    </row>
    <row r="776" spans="15:16" x14ac:dyDescent="0.45">
      <c r="O776">
        <v>775</v>
      </c>
      <c r="P776" s="10">
        <v>562449.65198630176</v>
      </c>
    </row>
    <row r="777" spans="15:16" x14ac:dyDescent="0.45">
      <c r="O777">
        <v>776</v>
      </c>
      <c r="P777" s="10">
        <v>567761.83161906572</v>
      </c>
    </row>
    <row r="778" spans="15:16" x14ac:dyDescent="0.45">
      <c r="O778">
        <v>777</v>
      </c>
      <c r="P778" s="10">
        <v>539616.08418784151</v>
      </c>
    </row>
    <row r="779" spans="15:16" x14ac:dyDescent="0.45">
      <c r="O779">
        <v>778</v>
      </c>
      <c r="P779" s="10">
        <v>548988.38250240497</v>
      </c>
    </row>
    <row r="780" spans="15:16" x14ac:dyDescent="0.45">
      <c r="O780">
        <v>779</v>
      </c>
      <c r="P780" s="10">
        <v>541108.44889372797</v>
      </c>
    </row>
    <row r="781" spans="15:16" x14ac:dyDescent="0.45">
      <c r="O781">
        <v>780</v>
      </c>
      <c r="P781" s="10">
        <v>554531.95818817441</v>
      </c>
    </row>
    <row r="782" spans="15:16" x14ac:dyDescent="0.45">
      <c r="O782">
        <v>781</v>
      </c>
      <c r="P782" s="10">
        <v>567824.99369581859</v>
      </c>
    </row>
    <row r="783" spans="15:16" x14ac:dyDescent="0.45">
      <c r="O783">
        <v>782</v>
      </c>
      <c r="P783" s="10">
        <v>575918.20539887482</v>
      </c>
    </row>
    <row r="784" spans="15:16" x14ac:dyDescent="0.45">
      <c r="O784">
        <v>783</v>
      </c>
      <c r="P784" s="10">
        <v>560597.10570214246</v>
      </c>
    </row>
    <row r="785" spans="15:16" x14ac:dyDescent="0.45">
      <c r="O785">
        <v>784</v>
      </c>
      <c r="P785" s="10">
        <v>555382.6596311226</v>
      </c>
    </row>
    <row r="786" spans="15:16" x14ac:dyDescent="0.45">
      <c r="O786">
        <v>785</v>
      </c>
      <c r="P786" s="10">
        <v>539029.65388149873</v>
      </c>
    </row>
    <row r="787" spans="15:16" x14ac:dyDescent="0.45">
      <c r="O787">
        <v>786</v>
      </c>
      <c r="P787" s="10">
        <v>568964.87737005379</v>
      </c>
    </row>
    <row r="788" spans="15:16" x14ac:dyDescent="0.45">
      <c r="O788">
        <v>787</v>
      </c>
      <c r="P788" s="10">
        <v>566234.49267494958</v>
      </c>
    </row>
    <row r="789" spans="15:16" x14ac:dyDescent="0.45">
      <c r="O789">
        <v>788</v>
      </c>
      <c r="P789" s="10">
        <v>564990.30661126832</v>
      </c>
    </row>
    <row r="790" spans="15:16" x14ac:dyDescent="0.45">
      <c r="O790">
        <v>789</v>
      </c>
      <c r="P790" s="10">
        <v>551704.76291353593</v>
      </c>
    </row>
    <row r="791" spans="15:16" x14ac:dyDescent="0.45">
      <c r="O791">
        <v>790</v>
      </c>
      <c r="P791" s="10">
        <v>565340.45350303815</v>
      </c>
    </row>
    <row r="792" spans="15:16" x14ac:dyDescent="0.45">
      <c r="O792">
        <v>791</v>
      </c>
      <c r="P792" s="10">
        <v>573119.01266262098</v>
      </c>
    </row>
    <row r="793" spans="15:16" x14ac:dyDescent="0.45">
      <c r="O793">
        <v>792</v>
      </c>
      <c r="P793" s="10">
        <v>545332.30712256767</v>
      </c>
    </row>
    <row r="794" spans="15:16" x14ac:dyDescent="0.45">
      <c r="O794">
        <v>793</v>
      </c>
      <c r="P794" s="10">
        <v>545554.53009731462</v>
      </c>
    </row>
    <row r="795" spans="15:16" x14ac:dyDescent="0.45">
      <c r="O795">
        <v>794</v>
      </c>
      <c r="P795" s="10">
        <v>567049.54595187504</v>
      </c>
    </row>
    <row r="796" spans="15:16" x14ac:dyDescent="0.45">
      <c r="O796">
        <v>795</v>
      </c>
      <c r="P796" s="10">
        <v>560297.03641232685</v>
      </c>
    </row>
    <row r="797" spans="15:16" x14ac:dyDescent="0.45">
      <c r="O797">
        <v>796</v>
      </c>
      <c r="P797" s="10">
        <v>560964.82161665184</v>
      </c>
    </row>
    <row r="798" spans="15:16" x14ac:dyDescent="0.45">
      <c r="O798">
        <v>797</v>
      </c>
      <c r="P798" s="10">
        <v>554706.56307720451</v>
      </c>
    </row>
    <row r="799" spans="15:16" x14ac:dyDescent="0.45">
      <c r="O799">
        <v>798</v>
      </c>
      <c r="P799" s="10">
        <v>572125.73336669244</v>
      </c>
    </row>
    <row r="800" spans="15:16" x14ac:dyDescent="0.45">
      <c r="O800">
        <v>799</v>
      </c>
      <c r="P800" s="10">
        <v>558033.23384407547</v>
      </c>
    </row>
    <row r="801" spans="15:16" x14ac:dyDescent="0.45">
      <c r="O801">
        <v>800</v>
      </c>
      <c r="P801" s="10">
        <v>553104.7780894367</v>
      </c>
    </row>
    <row r="802" spans="15:16" x14ac:dyDescent="0.45">
      <c r="O802">
        <v>801</v>
      </c>
      <c r="P802" s="10">
        <v>560599.13503214088</v>
      </c>
    </row>
    <row r="803" spans="15:16" x14ac:dyDescent="0.45">
      <c r="O803">
        <v>802</v>
      </c>
      <c r="P803" s="10">
        <v>555542.35958442907</v>
      </c>
    </row>
    <row r="804" spans="15:16" x14ac:dyDescent="0.45">
      <c r="O804">
        <v>803</v>
      </c>
      <c r="P804" s="10">
        <v>539842.50429244677</v>
      </c>
    </row>
    <row r="805" spans="15:16" x14ac:dyDescent="0.45">
      <c r="O805">
        <v>804</v>
      </c>
      <c r="P805" s="10">
        <v>568597.40860628674</v>
      </c>
    </row>
    <row r="806" spans="15:16" x14ac:dyDescent="0.45">
      <c r="O806">
        <v>805</v>
      </c>
      <c r="P806" s="10">
        <v>567526.63539989665</v>
      </c>
    </row>
    <row r="807" spans="15:16" x14ac:dyDescent="0.45">
      <c r="O807">
        <v>806</v>
      </c>
      <c r="P807" s="10">
        <v>540431.65562628105</v>
      </c>
    </row>
    <row r="808" spans="15:16" x14ac:dyDescent="0.45">
      <c r="O808">
        <v>807</v>
      </c>
      <c r="P808" s="10">
        <v>553035.45929395373</v>
      </c>
    </row>
    <row r="809" spans="15:16" x14ac:dyDescent="0.45">
      <c r="O809">
        <v>808</v>
      </c>
      <c r="P809" s="10">
        <v>551531.45033375523</v>
      </c>
    </row>
    <row r="810" spans="15:16" x14ac:dyDescent="0.45">
      <c r="O810">
        <v>809</v>
      </c>
      <c r="P810" s="10">
        <v>550825.45087823016</v>
      </c>
    </row>
    <row r="811" spans="15:16" x14ac:dyDescent="0.45">
      <c r="O811">
        <v>810</v>
      </c>
      <c r="P811" s="10">
        <v>554506.46922133083</v>
      </c>
    </row>
    <row r="812" spans="15:16" x14ac:dyDescent="0.45">
      <c r="O812">
        <v>811</v>
      </c>
      <c r="P812" s="10">
        <v>525986.58275850792</v>
      </c>
    </row>
    <row r="813" spans="15:16" x14ac:dyDescent="0.45">
      <c r="O813">
        <v>812</v>
      </c>
      <c r="P813" s="10">
        <v>549842.67550550564</v>
      </c>
    </row>
    <row r="814" spans="15:16" x14ac:dyDescent="0.45">
      <c r="O814">
        <v>813</v>
      </c>
      <c r="P814" s="10">
        <v>571163.39666006423</v>
      </c>
    </row>
    <row r="815" spans="15:16" x14ac:dyDescent="0.45">
      <c r="O815">
        <v>814</v>
      </c>
      <c r="P815" s="10">
        <v>546825.53530172794</v>
      </c>
    </row>
    <row r="816" spans="15:16" x14ac:dyDescent="0.45">
      <c r="O816">
        <v>815</v>
      </c>
      <c r="P816" s="10">
        <v>545876.66498883709</v>
      </c>
    </row>
    <row r="817" spans="15:16" x14ac:dyDescent="0.45">
      <c r="O817">
        <v>816</v>
      </c>
      <c r="P817" s="10">
        <v>534242.24988632742</v>
      </c>
    </row>
    <row r="818" spans="15:16" x14ac:dyDescent="0.45">
      <c r="O818">
        <v>817</v>
      </c>
      <c r="P818" s="10">
        <v>564046.78109871922</v>
      </c>
    </row>
    <row r="819" spans="15:16" x14ac:dyDescent="0.45">
      <c r="O819">
        <v>818</v>
      </c>
      <c r="P819" s="10">
        <v>554394.26745528751</v>
      </c>
    </row>
    <row r="820" spans="15:16" x14ac:dyDescent="0.45">
      <c r="O820">
        <v>819</v>
      </c>
      <c r="P820" s="10">
        <v>544648.32849062793</v>
      </c>
    </row>
    <row r="821" spans="15:16" x14ac:dyDescent="0.45">
      <c r="O821">
        <v>820</v>
      </c>
      <c r="P821" s="10">
        <v>561953.26962913363</v>
      </c>
    </row>
    <row r="822" spans="15:16" x14ac:dyDescent="0.45">
      <c r="O822">
        <v>821</v>
      </c>
      <c r="P822" s="10">
        <v>557347.27954621217</v>
      </c>
    </row>
    <row r="823" spans="15:16" x14ac:dyDescent="0.45">
      <c r="O823">
        <v>822</v>
      </c>
      <c r="P823" s="10">
        <v>550557.10627407243</v>
      </c>
    </row>
    <row r="824" spans="15:16" x14ac:dyDescent="0.45">
      <c r="O824">
        <v>823</v>
      </c>
      <c r="P824" s="10">
        <v>549702.68430066667</v>
      </c>
    </row>
    <row r="825" spans="15:16" x14ac:dyDescent="0.45">
      <c r="O825">
        <v>824</v>
      </c>
      <c r="P825" s="10">
        <v>562491.82702644821</v>
      </c>
    </row>
    <row r="826" spans="15:16" x14ac:dyDescent="0.45">
      <c r="O826">
        <v>825</v>
      </c>
      <c r="P826" s="10">
        <v>560176.00213216851</v>
      </c>
    </row>
    <row r="827" spans="15:16" x14ac:dyDescent="0.45">
      <c r="O827">
        <v>826</v>
      </c>
      <c r="P827" s="10">
        <v>574260.95929984027</v>
      </c>
    </row>
    <row r="828" spans="15:16" x14ac:dyDescent="0.45">
      <c r="O828">
        <v>827</v>
      </c>
      <c r="P828" s="10">
        <v>533460.91272520286</v>
      </c>
    </row>
    <row r="829" spans="15:16" x14ac:dyDescent="0.45">
      <c r="O829">
        <v>828</v>
      </c>
      <c r="P829" s="10">
        <v>545027.54687687429</v>
      </c>
    </row>
    <row r="830" spans="15:16" x14ac:dyDescent="0.45">
      <c r="O830">
        <v>829</v>
      </c>
      <c r="P830" s="10">
        <v>563628.19337979122</v>
      </c>
    </row>
    <row r="831" spans="15:16" x14ac:dyDescent="0.45">
      <c r="O831">
        <v>830</v>
      </c>
      <c r="P831" s="10">
        <v>557425.6536809057</v>
      </c>
    </row>
    <row r="832" spans="15:16" x14ac:dyDescent="0.45">
      <c r="O832">
        <v>831</v>
      </c>
      <c r="P832" s="10">
        <v>553277.88252381701</v>
      </c>
    </row>
    <row r="833" spans="15:16" x14ac:dyDescent="0.45">
      <c r="O833">
        <v>832</v>
      </c>
      <c r="P833" s="10">
        <v>560996.52392551966</v>
      </c>
    </row>
    <row r="834" spans="15:16" x14ac:dyDescent="0.45">
      <c r="O834">
        <v>833</v>
      </c>
      <c r="P834" s="10">
        <v>559551.26777276665</v>
      </c>
    </row>
    <row r="835" spans="15:16" x14ac:dyDescent="0.45">
      <c r="O835">
        <v>834</v>
      </c>
      <c r="P835" s="10">
        <v>579581.27247789153</v>
      </c>
    </row>
    <row r="836" spans="15:16" x14ac:dyDescent="0.45">
      <c r="O836">
        <v>835</v>
      </c>
      <c r="P836" s="10">
        <v>567850.95446978777</v>
      </c>
    </row>
    <row r="837" spans="15:16" x14ac:dyDescent="0.45">
      <c r="O837">
        <v>836</v>
      </c>
      <c r="P837" s="10">
        <v>551760.31840257952</v>
      </c>
    </row>
    <row r="838" spans="15:16" x14ac:dyDescent="0.45">
      <c r="O838">
        <v>837</v>
      </c>
      <c r="P838" s="10">
        <v>574975.74860006594</v>
      </c>
    </row>
    <row r="839" spans="15:16" x14ac:dyDescent="0.45">
      <c r="O839">
        <v>838</v>
      </c>
      <c r="P839" s="10">
        <v>562636.0091219265</v>
      </c>
    </row>
    <row r="840" spans="15:16" x14ac:dyDescent="0.45">
      <c r="O840">
        <v>839</v>
      </c>
      <c r="P840" s="10">
        <v>537633.52526153682</v>
      </c>
    </row>
    <row r="841" spans="15:16" x14ac:dyDescent="0.45">
      <c r="O841">
        <v>840</v>
      </c>
      <c r="P841" s="10">
        <v>565184.61939284275</v>
      </c>
    </row>
    <row r="842" spans="15:16" x14ac:dyDescent="0.45">
      <c r="O842">
        <v>841</v>
      </c>
      <c r="P842" s="10">
        <v>550027.63593358174</v>
      </c>
    </row>
    <row r="843" spans="15:16" x14ac:dyDescent="0.45">
      <c r="O843">
        <v>842</v>
      </c>
      <c r="P843" s="10">
        <v>556337.85782446852</v>
      </c>
    </row>
    <row r="844" spans="15:16" x14ac:dyDescent="0.45">
      <c r="O844">
        <v>843</v>
      </c>
      <c r="P844" s="10">
        <v>556768.24901977915</v>
      </c>
    </row>
    <row r="845" spans="15:16" x14ac:dyDescent="0.45">
      <c r="O845">
        <v>844</v>
      </c>
      <c r="P845" s="10">
        <v>568289.33624289942</v>
      </c>
    </row>
    <row r="846" spans="15:16" x14ac:dyDescent="0.45">
      <c r="O846">
        <v>845</v>
      </c>
      <c r="P846" s="10">
        <v>560934.12113100197</v>
      </c>
    </row>
    <row r="847" spans="15:16" x14ac:dyDescent="0.45">
      <c r="O847">
        <v>846</v>
      </c>
      <c r="P847" s="10">
        <v>560488.13038043794</v>
      </c>
    </row>
    <row r="848" spans="15:16" x14ac:dyDescent="0.45">
      <c r="O848">
        <v>847</v>
      </c>
      <c r="P848" s="10">
        <v>536841.96329702123</v>
      </c>
    </row>
    <row r="849" spans="15:16" x14ac:dyDescent="0.45">
      <c r="O849">
        <v>848</v>
      </c>
      <c r="P849" s="10">
        <v>581602.32903160702</v>
      </c>
    </row>
    <row r="850" spans="15:16" x14ac:dyDescent="0.45">
      <c r="O850">
        <v>849</v>
      </c>
      <c r="P850" s="10">
        <v>578461.60334167129</v>
      </c>
    </row>
    <row r="851" spans="15:16" x14ac:dyDescent="0.45">
      <c r="O851">
        <v>850</v>
      </c>
      <c r="P851" s="10">
        <v>566982.15369649592</v>
      </c>
    </row>
    <row r="852" spans="15:16" x14ac:dyDescent="0.45">
      <c r="O852">
        <v>851</v>
      </c>
      <c r="P852" s="10">
        <v>566714.59826561552</v>
      </c>
    </row>
    <row r="853" spans="15:16" x14ac:dyDescent="0.45">
      <c r="O853">
        <v>852</v>
      </c>
      <c r="P853" s="10">
        <v>581370.94168267364</v>
      </c>
    </row>
    <row r="854" spans="15:16" x14ac:dyDescent="0.45">
      <c r="O854">
        <v>853</v>
      </c>
      <c r="P854" s="10">
        <v>546669.23391749687</v>
      </c>
    </row>
    <row r="855" spans="15:16" x14ac:dyDescent="0.45">
      <c r="O855">
        <v>854</v>
      </c>
      <c r="P855" s="10">
        <v>553477.24665393378</v>
      </c>
    </row>
    <row r="856" spans="15:16" x14ac:dyDescent="0.45">
      <c r="O856">
        <v>855</v>
      </c>
      <c r="P856" s="10">
        <v>558162.66457550169</v>
      </c>
    </row>
    <row r="857" spans="15:16" x14ac:dyDescent="0.45">
      <c r="O857">
        <v>856</v>
      </c>
      <c r="P857" s="10">
        <v>556546.10187441728</v>
      </c>
    </row>
    <row r="858" spans="15:16" x14ac:dyDescent="0.45">
      <c r="O858">
        <v>857</v>
      </c>
      <c r="P858" s="10">
        <v>564822.33043467067</v>
      </c>
    </row>
    <row r="859" spans="15:16" x14ac:dyDescent="0.45">
      <c r="O859">
        <v>858</v>
      </c>
      <c r="P859" s="10">
        <v>573253.04564310657</v>
      </c>
    </row>
    <row r="860" spans="15:16" x14ac:dyDescent="0.45">
      <c r="O860">
        <v>859</v>
      </c>
      <c r="P860" s="10">
        <v>566413.72203452478</v>
      </c>
    </row>
    <row r="861" spans="15:16" x14ac:dyDescent="0.45">
      <c r="O861">
        <v>860</v>
      </c>
      <c r="P861" s="10">
        <v>590397.89722040354</v>
      </c>
    </row>
    <row r="862" spans="15:16" x14ac:dyDescent="0.45">
      <c r="O862">
        <v>861</v>
      </c>
      <c r="P862" s="10">
        <v>549690.07638423296</v>
      </c>
    </row>
    <row r="863" spans="15:16" x14ac:dyDescent="0.45">
      <c r="O863">
        <v>862</v>
      </c>
      <c r="P863" s="10">
        <v>550051.14705219213</v>
      </c>
    </row>
    <row r="864" spans="15:16" x14ac:dyDescent="0.45">
      <c r="O864">
        <v>863</v>
      </c>
      <c r="P864" s="10">
        <v>557555.84295381152</v>
      </c>
    </row>
    <row r="865" spans="15:16" x14ac:dyDescent="0.45">
      <c r="O865">
        <v>864</v>
      </c>
      <c r="P865" s="10">
        <v>556488.50925871078</v>
      </c>
    </row>
    <row r="866" spans="15:16" x14ac:dyDescent="0.45">
      <c r="O866">
        <v>865</v>
      </c>
      <c r="P866" s="10">
        <v>563009.58409066533</v>
      </c>
    </row>
    <row r="867" spans="15:16" x14ac:dyDescent="0.45">
      <c r="O867">
        <v>866</v>
      </c>
      <c r="P867" s="10">
        <v>553161.42710788187</v>
      </c>
    </row>
    <row r="868" spans="15:16" x14ac:dyDescent="0.45">
      <c r="O868">
        <v>867</v>
      </c>
      <c r="P868" s="10">
        <v>549548.98733766889</v>
      </c>
    </row>
    <row r="869" spans="15:16" x14ac:dyDescent="0.45">
      <c r="O869">
        <v>868</v>
      </c>
      <c r="P869" s="10">
        <v>544037.62804590724</v>
      </c>
    </row>
    <row r="870" spans="15:16" x14ac:dyDescent="0.45">
      <c r="O870">
        <v>869</v>
      </c>
      <c r="P870" s="10">
        <v>555858.67991097982</v>
      </c>
    </row>
    <row r="871" spans="15:16" x14ac:dyDescent="0.45">
      <c r="O871">
        <v>870</v>
      </c>
      <c r="P871" s="10">
        <v>578143.54769601044</v>
      </c>
    </row>
    <row r="872" spans="15:16" x14ac:dyDescent="0.45">
      <c r="O872">
        <v>871</v>
      </c>
      <c r="P872" s="10">
        <v>559335.6033715416</v>
      </c>
    </row>
    <row r="873" spans="15:16" x14ac:dyDescent="0.45">
      <c r="O873">
        <v>872</v>
      </c>
      <c r="P873" s="10">
        <v>570341.07185102091</v>
      </c>
    </row>
    <row r="874" spans="15:16" x14ac:dyDescent="0.45">
      <c r="O874">
        <v>873</v>
      </c>
      <c r="P874" s="10">
        <v>582590.85370010941</v>
      </c>
    </row>
    <row r="875" spans="15:16" x14ac:dyDescent="0.45">
      <c r="O875">
        <v>874</v>
      </c>
      <c r="P875" s="10">
        <v>541355.65235481947</v>
      </c>
    </row>
    <row r="876" spans="15:16" x14ac:dyDescent="0.45">
      <c r="O876">
        <v>875</v>
      </c>
      <c r="P876" s="10">
        <v>561893.24973604036</v>
      </c>
    </row>
    <row r="877" spans="15:16" x14ac:dyDescent="0.45">
      <c r="O877">
        <v>876</v>
      </c>
      <c r="P877" s="10">
        <v>565225.68085112493</v>
      </c>
    </row>
    <row r="878" spans="15:16" x14ac:dyDescent="0.45">
      <c r="O878">
        <v>877</v>
      </c>
      <c r="P878" s="10">
        <v>554536.79906528606</v>
      </c>
    </row>
    <row r="879" spans="15:16" x14ac:dyDescent="0.45">
      <c r="O879">
        <v>878</v>
      </c>
      <c r="P879" s="10">
        <v>561757.12182665186</v>
      </c>
    </row>
    <row r="880" spans="15:16" x14ac:dyDescent="0.45">
      <c r="O880">
        <v>879</v>
      </c>
      <c r="P880" s="10">
        <v>569018.42295360647</v>
      </c>
    </row>
    <row r="881" spans="15:16" x14ac:dyDescent="0.45">
      <c r="O881">
        <v>880</v>
      </c>
      <c r="P881" s="10">
        <v>552394.9998927397</v>
      </c>
    </row>
    <row r="882" spans="15:16" x14ac:dyDescent="0.45">
      <c r="O882">
        <v>881</v>
      </c>
      <c r="P882" s="10">
        <v>553530.04959321232</v>
      </c>
    </row>
    <row r="883" spans="15:16" x14ac:dyDescent="0.45">
      <c r="O883">
        <v>882</v>
      </c>
      <c r="P883" s="10">
        <v>552990.83326517569</v>
      </c>
    </row>
    <row r="884" spans="15:16" x14ac:dyDescent="0.45">
      <c r="O884">
        <v>883</v>
      </c>
      <c r="P884" s="10">
        <v>571313.90726505814</v>
      </c>
    </row>
    <row r="885" spans="15:16" x14ac:dyDescent="0.45">
      <c r="O885">
        <v>884</v>
      </c>
      <c r="P885" s="10">
        <v>564469.55676243117</v>
      </c>
    </row>
    <row r="886" spans="15:16" x14ac:dyDescent="0.45">
      <c r="O886">
        <v>885</v>
      </c>
      <c r="P886" s="10">
        <v>547894.83683470811</v>
      </c>
    </row>
    <row r="887" spans="15:16" x14ac:dyDescent="0.45">
      <c r="O887">
        <v>886</v>
      </c>
      <c r="P887" s="10">
        <v>577777.67993931484</v>
      </c>
    </row>
    <row r="888" spans="15:16" x14ac:dyDescent="0.45">
      <c r="O888">
        <v>887</v>
      </c>
      <c r="P888" s="10">
        <v>565986.57462437777</v>
      </c>
    </row>
    <row r="889" spans="15:16" x14ac:dyDescent="0.45">
      <c r="O889">
        <v>888</v>
      </c>
      <c r="P889" s="10">
        <v>530294.4741440129</v>
      </c>
    </row>
    <row r="890" spans="15:16" x14ac:dyDescent="0.45">
      <c r="O890">
        <v>889</v>
      </c>
      <c r="P890" s="10">
        <v>577172.85453685885</v>
      </c>
    </row>
    <row r="891" spans="15:16" x14ac:dyDescent="0.45">
      <c r="O891">
        <v>890</v>
      </c>
      <c r="P891" s="10">
        <v>551118.13413207512</v>
      </c>
    </row>
    <row r="892" spans="15:16" x14ac:dyDescent="0.45">
      <c r="O892">
        <v>891</v>
      </c>
      <c r="P892" s="10">
        <v>551405.55504281214</v>
      </c>
    </row>
    <row r="893" spans="15:16" x14ac:dyDescent="0.45">
      <c r="O893">
        <v>892</v>
      </c>
      <c r="P893" s="10">
        <v>556162.11832131608</v>
      </c>
    </row>
    <row r="894" spans="15:16" x14ac:dyDescent="0.45">
      <c r="O894">
        <v>893</v>
      </c>
      <c r="P894" s="10">
        <v>591668.23459953419</v>
      </c>
    </row>
    <row r="895" spans="15:16" x14ac:dyDescent="0.45">
      <c r="O895">
        <v>894</v>
      </c>
      <c r="P895" s="10">
        <v>553176.98692454258</v>
      </c>
    </row>
    <row r="896" spans="15:16" x14ac:dyDescent="0.45">
      <c r="O896">
        <v>895</v>
      </c>
      <c r="P896" s="10">
        <v>562057.67866547976</v>
      </c>
    </row>
    <row r="897" spans="15:16" x14ac:dyDescent="0.45">
      <c r="O897">
        <v>896</v>
      </c>
      <c r="P897" s="10">
        <v>536494.09949579358</v>
      </c>
    </row>
    <row r="898" spans="15:16" x14ac:dyDescent="0.45">
      <c r="O898">
        <v>897</v>
      </c>
      <c r="P898" s="10">
        <v>561427.66523229005</v>
      </c>
    </row>
    <row r="899" spans="15:16" x14ac:dyDescent="0.45">
      <c r="O899">
        <v>898</v>
      </c>
      <c r="P899" s="10">
        <v>579731.20594960894</v>
      </c>
    </row>
    <row r="900" spans="15:16" x14ac:dyDescent="0.45">
      <c r="O900">
        <v>899</v>
      </c>
      <c r="P900" s="10">
        <v>552364.32612646255</v>
      </c>
    </row>
    <row r="901" spans="15:16" x14ac:dyDescent="0.45">
      <c r="O901">
        <v>900</v>
      </c>
      <c r="P901" s="10">
        <v>560473.16085958772</v>
      </c>
    </row>
    <row r="902" spans="15:16" x14ac:dyDescent="0.45">
      <c r="O902">
        <v>901</v>
      </c>
      <c r="P902" s="10">
        <v>551291.73908313503</v>
      </c>
    </row>
    <row r="903" spans="15:16" x14ac:dyDescent="0.45">
      <c r="O903">
        <v>902</v>
      </c>
      <c r="P903" s="10">
        <v>570876.84994169674</v>
      </c>
    </row>
    <row r="904" spans="15:16" x14ac:dyDescent="0.45">
      <c r="O904">
        <v>903</v>
      </c>
      <c r="P904" s="10">
        <v>540792.35671326658</v>
      </c>
    </row>
    <row r="905" spans="15:16" x14ac:dyDescent="0.45">
      <c r="O905">
        <v>904</v>
      </c>
      <c r="P905" s="10">
        <v>582611.18585566711</v>
      </c>
    </row>
    <row r="906" spans="15:16" x14ac:dyDescent="0.45">
      <c r="O906">
        <v>905</v>
      </c>
      <c r="P906" s="10">
        <v>570492.61064636603</v>
      </c>
    </row>
    <row r="907" spans="15:16" x14ac:dyDescent="0.45">
      <c r="O907">
        <v>906</v>
      </c>
      <c r="P907" s="10">
        <v>564303.22688382305</v>
      </c>
    </row>
    <row r="908" spans="15:16" x14ac:dyDescent="0.45">
      <c r="O908">
        <v>907</v>
      </c>
      <c r="P908" s="10">
        <v>587127.2996435666</v>
      </c>
    </row>
    <row r="909" spans="15:16" x14ac:dyDescent="0.45">
      <c r="O909">
        <v>908</v>
      </c>
      <c r="P909" s="10">
        <v>562712.40565682121</v>
      </c>
    </row>
    <row r="910" spans="15:16" x14ac:dyDescent="0.45">
      <c r="O910">
        <v>909</v>
      </c>
      <c r="P910" s="10">
        <v>568118.02193849417</v>
      </c>
    </row>
    <row r="911" spans="15:16" x14ac:dyDescent="0.45">
      <c r="O911">
        <v>910</v>
      </c>
      <c r="P911" s="10">
        <v>570786.31856813701</v>
      </c>
    </row>
    <row r="912" spans="15:16" x14ac:dyDescent="0.45">
      <c r="O912">
        <v>911</v>
      </c>
      <c r="P912" s="10">
        <v>559623.07349107531</v>
      </c>
    </row>
    <row r="913" spans="15:16" x14ac:dyDescent="0.45">
      <c r="O913">
        <v>912</v>
      </c>
      <c r="P913" s="10">
        <v>557513.34174936963</v>
      </c>
    </row>
    <row r="914" spans="15:16" x14ac:dyDescent="0.45">
      <c r="O914">
        <v>913</v>
      </c>
      <c r="P914" s="10">
        <v>590118.35260986653</v>
      </c>
    </row>
    <row r="915" spans="15:16" x14ac:dyDescent="0.45">
      <c r="O915">
        <v>914</v>
      </c>
      <c r="P915" s="10">
        <v>564893.7045011915</v>
      </c>
    </row>
    <row r="916" spans="15:16" x14ac:dyDescent="0.45">
      <c r="O916">
        <v>915</v>
      </c>
      <c r="P916" s="10">
        <v>566688.73657772818</v>
      </c>
    </row>
    <row r="917" spans="15:16" x14ac:dyDescent="0.45">
      <c r="O917">
        <v>916</v>
      </c>
      <c r="P917" s="10">
        <v>550338.12282833422</v>
      </c>
    </row>
    <row r="918" spans="15:16" x14ac:dyDescent="0.45">
      <c r="O918">
        <v>917</v>
      </c>
      <c r="P918" s="10">
        <v>540712.67236133246</v>
      </c>
    </row>
    <row r="919" spans="15:16" x14ac:dyDescent="0.45">
      <c r="O919">
        <v>918</v>
      </c>
      <c r="P919" s="10">
        <v>578738.99960134027</v>
      </c>
    </row>
    <row r="920" spans="15:16" x14ac:dyDescent="0.45">
      <c r="O920">
        <v>919</v>
      </c>
      <c r="P920" s="10">
        <v>561161.63189154747</v>
      </c>
    </row>
    <row r="921" spans="15:16" x14ac:dyDescent="0.45">
      <c r="O921">
        <v>920</v>
      </c>
      <c r="P921" s="10">
        <v>556204.11793007026</v>
      </c>
    </row>
    <row r="922" spans="15:16" x14ac:dyDescent="0.45">
      <c r="O922">
        <v>921</v>
      </c>
      <c r="P922" s="10">
        <v>563948.80148474965</v>
      </c>
    </row>
    <row r="923" spans="15:16" x14ac:dyDescent="0.45">
      <c r="O923">
        <v>922</v>
      </c>
      <c r="P923" s="10">
        <v>582425.70489422674</v>
      </c>
    </row>
    <row r="924" spans="15:16" x14ac:dyDescent="0.45">
      <c r="O924">
        <v>923</v>
      </c>
      <c r="P924" s="10">
        <v>573862.47632587282</v>
      </c>
    </row>
    <row r="925" spans="15:16" x14ac:dyDescent="0.45">
      <c r="O925">
        <v>924</v>
      </c>
      <c r="P925" s="10">
        <v>565467.80127597984</v>
      </c>
    </row>
    <row r="926" spans="15:16" x14ac:dyDescent="0.45">
      <c r="O926">
        <v>925</v>
      </c>
      <c r="P926" s="10">
        <v>573726.08454863925</v>
      </c>
    </row>
    <row r="927" spans="15:16" x14ac:dyDescent="0.45">
      <c r="O927">
        <v>926</v>
      </c>
      <c r="P927" s="10">
        <v>554386.79112836649</v>
      </c>
    </row>
    <row r="928" spans="15:16" x14ac:dyDescent="0.45">
      <c r="O928">
        <v>927</v>
      </c>
      <c r="P928" s="10">
        <v>564120.83674898825</v>
      </c>
    </row>
    <row r="929" spans="15:16" x14ac:dyDescent="0.45">
      <c r="O929">
        <v>928</v>
      </c>
      <c r="P929" s="10">
        <v>566548.26642184262</v>
      </c>
    </row>
    <row r="930" spans="15:16" x14ac:dyDescent="0.45">
      <c r="O930">
        <v>929</v>
      </c>
      <c r="P930" s="10">
        <v>558279.46647098055</v>
      </c>
    </row>
    <row r="931" spans="15:16" x14ac:dyDescent="0.45">
      <c r="O931">
        <v>930</v>
      </c>
      <c r="P931" s="10">
        <v>574003.64183535788</v>
      </c>
    </row>
    <row r="932" spans="15:16" x14ac:dyDescent="0.45">
      <c r="O932">
        <v>931</v>
      </c>
      <c r="P932" s="10">
        <v>554902.75946404925</v>
      </c>
    </row>
    <row r="933" spans="15:16" x14ac:dyDescent="0.45">
      <c r="O933">
        <v>932</v>
      </c>
      <c r="P933" s="10">
        <v>570165.66643865849</v>
      </c>
    </row>
    <row r="934" spans="15:16" x14ac:dyDescent="0.45">
      <c r="O934">
        <v>933</v>
      </c>
      <c r="P934" s="10">
        <v>568671.11259001901</v>
      </c>
    </row>
    <row r="935" spans="15:16" x14ac:dyDescent="0.45">
      <c r="O935">
        <v>934</v>
      </c>
      <c r="P935" s="10">
        <v>561446.04922978708</v>
      </c>
    </row>
    <row r="936" spans="15:16" x14ac:dyDescent="0.45">
      <c r="O936">
        <v>935</v>
      </c>
      <c r="P936" s="10">
        <v>570332.17214044556</v>
      </c>
    </row>
    <row r="937" spans="15:16" x14ac:dyDescent="0.45">
      <c r="O937">
        <v>936</v>
      </c>
      <c r="P937" s="10">
        <v>571414.16044794652</v>
      </c>
    </row>
    <row r="938" spans="15:16" x14ac:dyDescent="0.45">
      <c r="O938">
        <v>937</v>
      </c>
      <c r="P938" s="10">
        <v>544918.93147111975</v>
      </c>
    </row>
    <row r="939" spans="15:16" x14ac:dyDescent="0.45">
      <c r="O939">
        <v>938</v>
      </c>
      <c r="P939" s="10">
        <v>553305.09987080167</v>
      </c>
    </row>
    <row r="940" spans="15:16" x14ac:dyDescent="0.45">
      <c r="O940">
        <v>939</v>
      </c>
      <c r="P940" s="10">
        <v>550527.70897819963</v>
      </c>
    </row>
    <row r="941" spans="15:16" x14ac:dyDescent="0.45">
      <c r="O941">
        <v>940</v>
      </c>
      <c r="P941" s="10">
        <v>562936.76221977198</v>
      </c>
    </row>
    <row r="942" spans="15:16" x14ac:dyDescent="0.45">
      <c r="O942">
        <v>941</v>
      </c>
      <c r="P942" s="10">
        <v>546985.88640375657</v>
      </c>
    </row>
    <row r="943" spans="15:16" x14ac:dyDescent="0.45">
      <c r="O943">
        <v>942</v>
      </c>
      <c r="P943" s="10">
        <v>558481.99069513229</v>
      </c>
    </row>
    <row r="944" spans="15:16" x14ac:dyDescent="0.45">
      <c r="O944">
        <v>943</v>
      </c>
      <c r="P944" s="10">
        <v>546922.90613906947</v>
      </c>
    </row>
    <row r="945" spans="15:16" x14ac:dyDescent="0.45">
      <c r="O945">
        <v>944</v>
      </c>
      <c r="P945" s="10">
        <v>557489.01049202413</v>
      </c>
    </row>
    <row r="946" spans="15:16" x14ac:dyDescent="0.45">
      <c r="O946">
        <v>945</v>
      </c>
      <c r="P946" s="10">
        <v>566158.49587372574</v>
      </c>
    </row>
    <row r="947" spans="15:16" x14ac:dyDescent="0.45">
      <c r="O947">
        <v>946</v>
      </c>
      <c r="P947" s="10">
        <v>527743.86390614347</v>
      </c>
    </row>
    <row r="948" spans="15:16" x14ac:dyDescent="0.45">
      <c r="O948">
        <v>947</v>
      </c>
      <c r="P948" s="10">
        <v>558533.71038298833</v>
      </c>
    </row>
    <row r="949" spans="15:16" x14ac:dyDescent="0.45">
      <c r="O949">
        <v>948</v>
      </c>
      <c r="P949" s="10">
        <v>545419.09934742341</v>
      </c>
    </row>
    <row r="950" spans="15:16" x14ac:dyDescent="0.45">
      <c r="O950">
        <v>949</v>
      </c>
      <c r="P950" s="10">
        <v>566718.12374768988</v>
      </c>
    </row>
    <row r="951" spans="15:16" x14ac:dyDescent="0.45">
      <c r="O951">
        <v>950</v>
      </c>
      <c r="P951" s="10">
        <v>548848.64879162645</v>
      </c>
    </row>
    <row r="952" spans="15:16" x14ac:dyDescent="0.45">
      <c r="O952">
        <v>951</v>
      </c>
      <c r="P952" s="10">
        <v>554044.70121674682</v>
      </c>
    </row>
    <row r="953" spans="15:16" x14ac:dyDescent="0.45">
      <c r="O953">
        <v>952</v>
      </c>
      <c r="P953" s="10">
        <v>572377.36676628201</v>
      </c>
    </row>
    <row r="954" spans="15:16" x14ac:dyDescent="0.45">
      <c r="O954">
        <v>953</v>
      </c>
      <c r="P954" s="10">
        <v>547409.24822770758</v>
      </c>
    </row>
    <row r="955" spans="15:16" x14ac:dyDescent="0.45">
      <c r="O955">
        <v>954</v>
      </c>
      <c r="P955" s="10">
        <v>544658.95659396914</v>
      </c>
    </row>
    <row r="956" spans="15:16" x14ac:dyDescent="0.45">
      <c r="O956">
        <v>955</v>
      </c>
      <c r="P956" s="10">
        <v>578987.47583751415</v>
      </c>
    </row>
    <row r="957" spans="15:16" x14ac:dyDescent="0.45">
      <c r="O957">
        <v>956</v>
      </c>
      <c r="P957" s="10">
        <v>583502.84080783906</v>
      </c>
    </row>
    <row r="958" spans="15:16" x14ac:dyDescent="0.45">
      <c r="O958">
        <v>957</v>
      </c>
      <c r="P958" s="10">
        <v>559368.01491356839</v>
      </c>
    </row>
    <row r="959" spans="15:16" x14ac:dyDescent="0.45">
      <c r="O959">
        <v>958</v>
      </c>
      <c r="P959" s="10">
        <v>540710.14062957803</v>
      </c>
    </row>
    <row r="960" spans="15:16" x14ac:dyDescent="0.45">
      <c r="O960">
        <v>959</v>
      </c>
      <c r="P960" s="10">
        <v>576518.06026999233</v>
      </c>
    </row>
    <row r="961" spans="15:16" x14ac:dyDescent="0.45">
      <c r="O961">
        <v>960</v>
      </c>
      <c r="P961" s="10">
        <v>550125.94678555743</v>
      </c>
    </row>
    <row r="962" spans="15:16" x14ac:dyDescent="0.45">
      <c r="O962">
        <v>961</v>
      </c>
      <c r="P962" s="10">
        <v>542566.11669695308</v>
      </c>
    </row>
    <row r="963" spans="15:16" x14ac:dyDescent="0.45">
      <c r="O963">
        <v>962</v>
      </c>
      <c r="P963" s="10">
        <v>568506.50372241496</v>
      </c>
    </row>
    <row r="964" spans="15:16" x14ac:dyDescent="0.45">
      <c r="O964">
        <v>963</v>
      </c>
      <c r="P964" s="10">
        <v>566345.77729985106</v>
      </c>
    </row>
    <row r="965" spans="15:16" x14ac:dyDescent="0.45">
      <c r="O965">
        <v>964</v>
      </c>
      <c r="P965" s="10">
        <v>556467.72624476859</v>
      </c>
    </row>
    <row r="966" spans="15:16" x14ac:dyDescent="0.45">
      <c r="O966">
        <v>965</v>
      </c>
      <c r="P966" s="10">
        <v>582687.66458145005</v>
      </c>
    </row>
    <row r="967" spans="15:16" x14ac:dyDescent="0.45">
      <c r="O967">
        <v>966</v>
      </c>
      <c r="P967" s="10">
        <v>542461.38079831144</v>
      </c>
    </row>
    <row r="968" spans="15:16" x14ac:dyDescent="0.45">
      <c r="O968">
        <v>967</v>
      </c>
      <c r="P968" s="10">
        <v>562188.88800787111</v>
      </c>
    </row>
    <row r="969" spans="15:16" x14ac:dyDescent="0.45">
      <c r="O969">
        <v>968</v>
      </c>
      <c r="P969" s="10">
        <v>568942.91694013705</v>
      </c>
    </row>
    <row r="970" spans="15:16" x14ac:dyDescent="0.45">
      <c r="O970">
        <v>969</v>
      </c>
      <c r="P970" s="10">
        <v>533628.56036529923</v>
      </c>
    </row>
    <row r="971" spans="15:16" x14ac:dyDescent="0.45">
      <c r="O971">
        <v>970</v>
      </c>
      <c r="P971" s="10">
        <v>564887.37042103452</v>
      </c>
    </row>
    <row r="972" spans="15:16" x14ac:dyDescent="0.45">
      <c r="O972">
        <v>971</v>
      </c>
      <c r="P972" s="10">
        <v>568669.42848299746</v>
      </c>
    </row>
    <row r="973" spans="15:16" x14ac:dyDescent="0.45">
      <c r="O973">
        <v>972</v>
      </c>
      <c r="P973" s="10">
        <v>537502.69711769745</v>
      </c>
    </row>
    <row r="974" spans="15:16" x14ac:dyDescent="0.45">
      <c r="O974">
        <v>973</v>
      </c>
      <c r="P974" s="10">
        <v>535118.52280428563</v>
      </c>
    </row>
    <row r="975" spans="15:16" x14ac:dyDescent="0.45">
      <c r="O975">
        <v>974</v>
      </c>
      <c r="P975" s="10">
        <v>546097.02195428172</v>
      </c>
    </row>
    <row r="976" spans="15:16" x14ac:dyDescent="0.45">
      <c r="O976">
        <v>975</v>
      </c>
      <c r="P976" s="10">
        <v>551198.53889574797</v>
      </c>
    </row>
    <row r="977" spans="15:16" x14ac:dyDescent="0.45">
      <c r="O977">
        <v>976</v>
      </c>
      <c r="P977" s="10">
        <v>574364.07731727487</v>
      </c>
    </row>
    <row r="978" spans="15:16" x14ac:dyDescent="0.45">
      <c r="O978">
        <v>977</v>
      </c>
      <c r="P978" s="10">
        <v>553939.47925187252</v>
      </c>
    </row>
    <row r="979" spans="15:16" x14ac:dyDescent="0.45">
      <c r="O979">
        <v>978</v>
      </c>
      <c r="P979" s="10">
        <v>544934.86333034176</v>
      </c>
    </row>
    <row r="980" spans="15:16" x14ac:dyDescent="0.45">
      <c r="O980">
        <v>979</v>
      </c>
      <c r="P980" s="10">
        <v>567070.31848264846</v>
      </c>
    </row>
    <row r="981" spans="15:16" x14ac:dyDescent="0.45">
      <c r="O981">
        <v>980</v>
      </c>
      <c r="P981" s="10">
        <v>555087.6627668303</v>
      </c>
    </row>
    <row r="982" spans="15:16" x14ac:dyDescent="0.45">
      <c r="O982">
        <v>981</v>
      </c>
      <c r="P982" s="10">
        <v>548739.73143517529</v>
      </c>
    </row>
    <row r="983" spans="15:16" x14ac:dyDescent="0.45">
      <c r="O983">
        <v>982</v>
      </c>
      <c r="P983" s="10">
        <v>551841.04026511987</v>
      </c>
    </row>
    <row r="984" spans="15:16" x14ac:dyDescent="0.45">
      <c r="O984">
        <v>983</v>
      </c>
      <c r="P984" s="10">
        <v>580525.04729539203</v>
      </c>
    </row>
    <row r="985" spans="15:16" x14ac:dyDescent="0.45">
      <c r="O985">
        <v>984</v>
      </c>
      <c r="P985" s="10">
        <v>553474.08894799894</v>
      </c>
    </row>
    <row r="986" spans="15:16" x14ac:dyDescent="0.45">
      <c r="O986">
        <v>985</v>
      </c>
      <c r="P986" s="10">
        <v>579730.71942583355</v>
      </c>
    </row>
    <row r="987" spans="15:16" x14ac:dyDescent="0.45">
      <c r="O987">
        <v>986</v>
      </c>
      <c r="P987" s="10">
        <v>558411.71657675307</v>
      </c>
    </row>
    <row r="988" spans="15:16" x14ac:dyDescent="0.45">
      <c r="O988">
        <v>987</v>
      </c>
      <c r="P988" s="10">
        <v>553798.96265253797</v>
      </c>
    </row>
    <row r="989" spans="15:16" x14ac:dyDescent="0.45">
      <c r="O989">
        <v>988</v>
      </c>
      <c r="P989" s="10">
        <v>552514.60497212259</v>
      </c>
    </row>
    <row r="990" spans="15:16" x14ac:dyDescent="0.45">
      <c r="O990">
        <v>989</v>
      </c>
      <c r="P990" s="10">
        <v>557294.94921675301</v>
      </c>
    </row>
    <row r="991" spans="15:16" x14ac:dyDescent="0.45">
      <c r="O991">
        <v>990</v>
      </c>
      <c r="P991" s="10">
        <v>556600.85671408579</v>
      </c>
    </row>
    <row r="992" spans="15:16" x14ac:dyDescent="0.45">
      <c r="O992">
        <v>991</v>
      </c>
      <c r="P992" s="10">
        <v>568567.09296464699</v>
      </c>
    </row>
    <row r="993" spans="15:16" x14ac:dyDescent="0.45">
      <c r="O993">
        <v>992</v>
      </c>
      <c r="P993" s="10">
        <v>566711.39921337727</v>
      </c>
    </row>
    <row r="994" spans="15:16" x14ac:dyDescent="0.45">
      <c r="O994">
        <v>993</v>
      </c>
      <c r="P994" s="10">
        <v>550511.08171917836</v>
      </c>
    </row>
    <row r="995" spans="15:16" x14ac:dyDescent="0.45">
      <c r="O995">
        <v>994</v>
      </c>
      <c r="P995" s="10">
        <v>565989.41659429122</v>
      </c>
    </row>
    <row r="996" spans="15:16" x14ac:dyDescent="0.45">
      <c r="O996">
        <v>995</v>
      </c>
      <c r="P996" s="10">
        <v>538275.62398393045</v>
      </c>
    </row>
    <row r="997" spans="15:16" x14ac:dyDescent="0.45">
      <c r="O997">
        <v>996</v>
      </c>
      <c r="P997" s="10">
        <v>564886.83472877811</v>
      </c>
    </row>
    <row r="998" spans="15:16" x14ac:dyDescent="0.45">
      <c r="O998">
        <v>997</v>
      </c>
      <c r="P998" s="10">
        <v>561090.88102806534</v>
      </c>
    </row>
    <row r="999" spans="15:16" x14ac:dyDescent="0.45">
      <c r="O999">
        <v>998</v>
      </c>
      <c r="P999" s="10">
        <v>535157.31088928878</v>
      </c>
    </row>
    <row r="1000" spans="15:16" x14ac:dyDescent="0.45">
      <c r="O1000">
        <v>999</v>
      </c>
      <c r="P1000" s="10">
        <v>526240.70899818675</v>
      </c>
    </row>
    <row r="1001" spans="15:16" x14ac:dyDescent="0.45">
      <c r="O1001">
        <v>1000</v>
      </c>
      <c r="P1001" s="10">
        <v>567112.38652475132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8E813-02D4-4A7C-ABAD-2D74A81A2FA5}">
  <dimension ref="A1:J17"/>
  <sheetViews>
    <sheetView showGridLines="0" workbookViewId="0">
      <selection activeCell="J4" sqref="J4:R6"/>
    </sheetView>
  </sheetViews>
  <sheetFormatPr defaultRowHeight="14.25" x14ac:dyDescent="0.45"/>
  <cols>
    <col min="1" max="1" width="2.33203125" customWidth="1"/>
    <col min="2" max="2" width="6.1328125" bestFit="1" customWidth="1"/>
    <col min="3" max="3" width="30" bestFit="1" customWidth="1"/>
    <col min="4" max="4" width="12" bestFit="1" customWidth="1"/>
    <col min="5" max="5" width="12.6640625" bestFit="1" customWidth="1"/>
  </cols>
  <sheetData>
    <row r="1" spans="1:10" x14ac:dyDescent="0.45">
      <c r="A1" s="24" t="s">
        <v>71</v>
      </c>
    </row>
    <row r="2" spans="1:10" x14ac:dyDescent="0.45">
      <c r="A2" s="24" t="s">
        <v>72</v>
      </c>
    </row>
    <row r="3" spans="1:10" x14ac:dyDescent="0.45">
      <c r="A3" s="24" t="s">
        <v>94</v>
      </c>
    </row>
    <row r="6" spans="1:10" ht="14.65" thickBot="1" x14ac:dyDescent="0.5">
      <c r="A6" t="s">
        <v>73</v>
      </c>
    </row>
    <row r="7" spans="1:10" x14ac:dyDescent="0.45">
      <c r="B7" s="45"/>
      <c r="C7" s="45"/>
      <c r="D7" s="45" t="s">
        <v>76</v>
      </c>
      <c r="E7" s="45" t="s">
        <v>78</v>
      </c>
      <c r="J7" s="88"/>
    </row>
    <row r="8" spans="1:10" ht="14.65" thickBot="1" x14ac:dyDescent="0.5">
      <c r="B8" s="46" t="s">
        <v>74</v>
      </c>
      <c r="C8" s="46" t="s">
        <v>75</v>
      </c>
      <c r="D8" s="46" t="s">
        <v>77</v>
      </c>
      <c r="E8" s="46" t="s">
        <v>79</v>
      </c>
    </row>
    <row r="9" spans="1:10" x14ac:dyDescent="0.45">
      <c r="B9" s="43" t="s">
        <v>83</v>
      </c>
      <c r="C9" s="43" t="s">
        <v>84</v>
      </c>
      <c r="D9" s="43">
        <v>9.9999999999999992E-2</v>
      </c>
      <c r="E9" s="43">
        <v>-2.0672793545075646E-2</v>
      </c>
    </row>
    <row r="10" spans="1:10" x14ac:dyDescent="0.45">
      <c r="B10" s="43" t="s">
        <v>85</v>
      </c>
      <c r="C10" s="43" t="s">
        <v>86</v>
      </c>
      <c r="D10" s="43">
        <v>0.35000256682430686</v>
      </c>
      <c r="E10" s="43">
        <v>0</v>
      </c>
    </row>
    <row r="11" spans="1:10" ht="14.65" thickBot="1" x14ac:dyDescent="0.5">
      <c r="B11" s="44" t="s">
        <v>87</v>
      </c>
      <c r="C11" s="44" t="s">
        <v>88</v>
      </c>
      <c r="D11" s="44">
        <v>0.54999743317569316</v>
      </c>
      <c r="E11" s="44">
        <v>0</v>
      </c>
    </row>
    <row r="13" spans="1:10" ht="14.65" thickBot="1" x14ac:dyDescent="0.5">
      <c r="A13" t="s">
        <v>80</v>
      </c>
    </row>
    <row r="14" spans="1:10" x14ac:dyDescent="0.45">
      <c r="B14" s="45"/>
      <c r="C14" s="45"/>
      <c r="D14" s="45" t="s">
        <v>76</v>
      </c>
      <c r="E14" s="45" t="s">
        <v>81</v>
      </c>
    </row>
    <row r="15" spans="1:10" ht="14.65" thickBot="1" x14ac:dyDescent="0.5">
      <c r="B15" s="46" t="s">
        <v>74</v>
      </c>
      <c r="C15" s="46" t="s">
        <v>75</v>
      </c>
      <c r="D15" s="46" t="s">
        <v>77</v>
      </c>
      <c r="E15" s="46" t="s">
        <v>82</v>
      </c>
    </row>
    <row r="16" spans="1:10" x14ac:dyDescent="0.45">
      <c r="B16" s="43" t="s">
        <v>89</v>
      </c>
      <c r="C16" s="43" t="s">
        <v>90</v>
      </c>
      <c r="D16" s="43">
        <v>0.11999990152167184</v>
      </c>
      <c r="E16" s="43">
        <v>0.22701975101805982</v>
      </c>
    </row>
    <row r="17" spans="2:5" ht="14.65" thickBot="1" x14ac:dyDescent="0.5">
      <c r="B17" s="44" t="s">
        <v>91</v>
      </c>
      <c r="C17" s="44" t="s">
        <v>92</v>
      </c>
      <c r="D17" s="44">
        <v>1</v>
      </c>
      <c r="E17" s="44">
        <v>5.7699834235903469E-2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CCA7E-F578-4970-9DB8-67F78EA4201A}">
  <dimension ref="C1:W1001"/>
  <sheetViews>
    <sheetView zoomScale="80" zoomScaleNormal="80" workbookViewId="0">
      <selection activeCell="H20" sqref="H20"/>
    </sheetView>
  </sheetViews>
  <sheetFormatPr defaultRowHeight="14.25" x14ac:dyDescent="0.45"/>
  <cols>
    <col min="3" max="3" width="17.46484375" customWidth="1"/>
    <col min="7" max="7" width="9.53125" bestFit="1" customWidth="1"/>
    <col min="9" max="9" width="21.46484375" bestFit="1" customWidth="1"/>
    <col min="11" max="11" width="16.796875" bestFit="1" customWidth="1"/>
    <col min="12" max="12" width="14.1328125" bestFit="1" customWidth="1"/>
    <col min="15" max="15" width="12" bestFit="1" customWidth="1"/>
    <col min="18" max="18" width="10.53125" bestFit="1" customWidth="1"/>
    <col min="19" max="19" width="11.19921875" bestFit="1" customWidth="1"/>
    <col min="20" max="20" width="9.46484375" bestFit="1" customWidth="1"/>
  </cols>
  <sheetData>
    <row r="1" spans="3:23" x14ac:dyDescent="0.45">
      <c r="C1" s="2" t="s">
        <v>0</v>
      </c>
      <c r="D1" s="2">
        <v>30</v>
      </c>
      <c r="E1" s="2"/>
      <c r="F1" s="2"/>
      <c r="G1" s="2"/>
      <c r="H1" s="2"/>
      <c r="I1" s="2"/>
      <c r="J1" s="2"/>
      <c r="K1" s="2"/>
      <c r="L1" s="2"/>
      <c r="N1" t="s">
        <v>27</v>
      </c>
      <c r="O1" t="s">
        <v>30</v>
      </c>
    </row>
    <row r="2" spans="3:23" x14ac:dyDescent="0.45">
      <c r="C2" s="2" t="s">
        <v>1</v>
      </c>
      <c r="D2" s="2">
        <v>67</v>
      </c>
      <c r="E2" s="2" t="s">
        <v>58</v>
      </c>
      <c r="F2" s="2"/>
      <c r="G2" s="2"/>
      <c r="H2" s="2"/>
      <c r="I2" s="2"/>
      <c r="J2" s="2"/>
      <c r="K2" s="23" t="s">
        <v>46</v>
      </c>
      <c r="L2" s="39">
        <f ca="1">L54</f>
        <v>1548174.6568643767</v>
      </c>
      <c r="N2">
        <v>1</v>
      </c>
      <c r="O2" s="10">
        <f ca="1">L2</f>
        <v>1548174.6568643767</v>
      </c>
    </row>
    <row r="3" spans="3:23" x14ac:dyDescent="0.45">
      <c r="C3" s="2" t="s">
        <v>2</v>
      </c>
      <c r="D3" s="2">
        <v>70000</v>
      </c>
      <c r="E3" s="2"/>
      <c r="F3" s="2"/>
      <c r="G3" s="2"/>
      <c r="H3" s="2"/>
      <c r="I3" s="2"/>
      <c r="J3" s="2"/>
      <c r="K3" s="37" t="s">
        <v>45</v>
      </c>
      <c r="L3" s="38">
        <f>'Retirement Capital'!E27</f>
        <v>1454757</v>
      </c>
      <c r="N3">
        <v>2</v>
      </c>
      <c r="O3">
        <f t="dataTable" ref="O3:O1001" dt2D="0" dtr="0" r1="Q4" ca="1"/>
        <v>1512632.6619101486</v>
      </c>
    </row>
    <row r="4" spans="3:23" x14ac:dyDescent="0.45">
      <c r="C4" s="2" t="s">
        <v>3</v>
      </c>
      <c r="D4" s="3">
        <v>3.5000000000000003E-2</v>
      </c>
      <c r="E4" s="2"/>
      <c r="F4" s="2"/>
      <c r="G4" s="2" t="s">
        <v>25</v>
      </c>
      <c r="H4" s="2">
        <v>0.7</v>
      </c>
      <c r="I4" s="2"/>
      <c r="J4" s="2"/>
      <c r="K4" s="2" t="s">
        <v>60</v>
      </c>
      <c r="L4" s="41">
        <f ca="1">L2-L3</f>
        <v>93417.656864376739</v>
      </c>
      <c r="N4">
        <v>3</v>
      </c>
      <c r="O4">
        <v>1543537.6062751217</v>
      </c>
      <c r="S4" s="18" t="s">
        <v>69</v>
      </c>
      <c r="T4" s="18" t="s">
        <v>9</v>
      </c>
      <c r="U4" s="18" t="s">
        <v>10</v>
      </c>
      <c r="V4" s="18" t="s">
        <v>8</v>
      </c>
    </row>
    <row r="5" spans="3:23" x14ac:dyDescent="0.45">
      <c r="C5" s="2" t="s">
        <v>4</v>
      </c>
      <c r="D5" s="4">
        <v>0.1</v>
      </c>
      <c r="E5" s="4"/>
      <c r="F5" s="4"/>
      <c r="G5" s="2"/>
      <c r="H5" s="2"/>
      <c r="I5" s="2"/>
      <c r="J5" s="2"/>
      <c r="K5" s="24" t="s">
        <v>47</v>
      </c>
      <c r="L5" s="10">
        <f ca="1">AVERAGE(O2:O1001)</f>
        <v>1542953.43737188</v>
      </c>
      <c r="N5">
        <v>4</v>
      </c>
      <c r="O5">
        <v>1538455.0166525103</v>
      </c>
      <c r="S5" s="19" t="s">
        <v>11</v>
      </c>
      <c r="T5" s="21">
        <v>3.7499999999999999E-2</v>
      </c>
      <c r="U5" s="21">
        <v>0.05</v>
      </c>
      <c r="V5" s="8">
        <v>9.9999999999999992E-2</v>
      </c>
    </row>
    <row r="6" spans="3:23" x14ac:dyDescent="0.45">
      <c r="C6" s="2" t="s">
        <v>5</v>
      </c>
      <c r="D6" s="4">
        <v>0.03</v>
      </c>
      <c r="E6" s="2"/>
      <c r="F6" s="2"/>
      <c r="G6" s="2"/>
      <c r="H6" s="2"/>
      <c r="I6" s="2"/>
      <c r="J6" s="2"/>
      <c r="K6" s="2"/>
      <c r="L6" s="2"/>
      <c r="N6">
        <v>5</v>
      </c>
      <c r="O6">
        <v>1569922.0352116413</v>
      </c>
      <c r="S6" s="19" t="s">
        <v>13</v>
      </c>
      <c r="T6" s="21">
        <v>6.5000000000000002E-2</v>
      </c>
      <c r="U6" s="21">
        <v>0.105</v>
      </c>
      <c r="V6" s="8">
        <v>0.35000256682430686</v>
      </c>
    </row>
    <row r="7" spans="3:23" x14ac:dyDescent="0.45">
      <c r="C7" s="2" t="s">
        <v>6</v>
      </c>
      <c r="D7" s="4">
        <v>0.02</v>
      </c>
      <c r="E7" s="2"/>
      <c r="F7" s="2"/>
      <c r="G7" s="2"/>
      <c r="H7" s="2"/>
      <c r="I7" s="2"/>
      <c r="J7" s="2"/>
      <c r="K7" s="2"/>
      <c r="L7" s="2"/>
      <c r="N7">
        <v>6</v>
      </c>
      <c r="O7">
        <v>1613303.8802727822</v>
      </c>
      <c r="S7" s="19" t="s">
        <v>15</v>
      </c>
      <c r="T7" s="21">
        <v>0.10249999999999999</v>
      </c>
      <c r="U7" s="21">
        <v>0.20749999999999999</v>
      </c>
      <c r="V7" s="8">
        <v>0.54999743317569316</v>
      </c>
    </row>
    <row r="8" spans="3:23" x14ac:dyDescent="0.45">
      <c r="C8" s="2" t="s">
        <v>7</v>
      </c>
      <c r="D8" s="2">
        <f>D2-D1</f>
        <v>37</v>
      </c>
      <c r="E8" s="2"/>
      <c r="F8" s="2"/>
      <c r="G8" s="2"/>
      <c r="H8" s="2"/>
      <c r="I8" s="2"/>
      <c r="J8" s="2"/>
      <c r="K8" s="2"/>
      <c r="L8" s="2"/>
      <c r="N8">
        <v>7</v>
      </c>
      <c r="O8">
        <v>1597331.6423110338</v>
      </c>
      <c r="V8" s="8">
        <f>SUM(V5:V7)</f>
        <v>1</v>
      </c>
    </row>
    <row r="9" spans="3:23" x14ac:dyDescent="0.45">
      <c r="C9" s="2"/>
      <c r="D9" s="2"/>
      <c r="E9" s="2"/>
      <c r="F9" s="2"/>
      <c r="G9" s="2"/>
      <c r="H9" s="2"/>
      <c r="I9" s="2"/>
      <c r="J9" s="2"/>
      <c r="K9" s="2"/>
      <c r="L9" s="2"/>
      <c r="N9">
        <v>8</v>
      </c>
      <c r="O9">
        <v>1558692.7760818864</v>
      </c>
      <c r="V9" s="13">
        <f>(V5*T5)+(V6*T6)+(V7*T7)</f>
        <v>8.2874903744088485E-2</v>
      </c>
      <c r="W9" t="s">
        <v>70</v>
      </c>
    </row>
    <row r="10" spans="3:23" x14ac:dyDescent="0.45">
      <c r="C10" s="17"/>
      <c r="D10" s="18" t="s">
        <v>8</v>
      </c>
      <c r="E10" s="18" t="s">
        <v>9</v>
      </c>
      <c r="F10" s="18" t="s">
        <v>10</v>
      </c>
      <c r="H10" s="2"/>
      <c r="I10" s="2"/>
      <c r="J10" s="2"/>
      <c r="K10" s="2"/>
      <c r="L10" s="2"/>
      <c r="N10">
        <v>9</v>
      </c>
      <c r="O10">
        <v>1554160.5018890125</v>
      </c>
    </row>
    <row r="11" spans="3:23" x14ac:dyDescent="0.45">
      <c r="C11" s="19" t="s">
        <v>11</v>
      </c>
      <c r="D11" s="20">
        <v>0.1</v>
      </c>
      <c r="E11" s="21">
        <v>3.7499999999999999E-2</v>
      </c>
      <c r="F11" s="21">
        <v>0.05</v>
      </c>
      <c r="H11" s="2"/>
      <c r="I11" s="2" t="s">
        <v>12</v>
      </c>
      <c r="J11" s="3">
        <v>8.2900000000000001E-2</v>
      </c>
      <c r="K11" s="2"/>
      <c r="L11" s="2"/>
      <c r="N11">
        <v>10</v>
      </c>
      <c r="O11">
        <v>1592880.993308478</v>
      </c>
      <c r="V11" s="8">
        <f>SQRT((V5*5%)^2+(V6*10.5%)^2+(V7*20.75%)^2)</f>
        <v>0.11999990152167184</v>
      </c>
      <c r="W11" t="s">
        <v>10</v>
      </c>
    </row>
    <row r="12" spans="3:23" x14ac:dyDescent="0.45">
      <c r="C12" s="19" t="s">
        <v>13</v>
      </c>
      <c r="D12" s="20">
        <v>0.35</v>
      </c>
      <c r="E12" s="21">
        <v>6.5000000000000002E-2</v>
      </c>
      <c r="F12" s="21">
        <v>0.105</v>
      </c>
      <c r="H12" s="2"/>
      <c r="I12" s="2" t="s">
        <v>14</v>
      </c>
      <c r="J12" s="22">
        <v>0.12</v>
      </c>
      <c r="K12" s="2"/>
      <c r="L12" s="2"/>
      <c r="N12">
        <v>11</v>
      </c>
      <c r="O12">
        <v>1527858.6510040197</v>
      </c>
    </row>
    <row r="13" spans="3:23" x14ac:dyDescent="0.45">
      <c r="C13" s="19" t="s">
        <v>15</v>
      </c>
      <c r="D13" s="20">
        <v>0.55000000000000004</v>
      </c>
      <c r="E13" s="21">
        <v>0.10249999999999999</v>
      </c>
      <c r="F13" s="21">
        <v>0.20749999999999999</v>
      </c>
      <c r="H13" s="2"/>
      <c r="I13" s="2"/>
      <c r="J13" s="2"/>
      <c r="K13" s="2"/>
      <c r="L13" s="2"/>
      <c r="N13">
        <v>12</v>
      </c>
      <c r="O13">
        <v>1507830.6288493373</v>
      </c>
    </row>
    <row r="14" spans="3:23" x14ac:dyDescent="0.45">
      <c r="C14" s="2"/>
      <c r="D14" s="2"/>
      <c r="E14" s="2"/>
      <c r="F14" s="2"/>
      <c r="G14" s="2"/>
      <c r="H14" s="2"/>
      <c r="I14" s="2"/>
      <c r="J14" s="2"/>
      <c r="K14" s="2"/>
      <c r="L14" s="2"/>
      <c r="N14">
        <v>13</v>
      </c>
      <c r="O14">
        <v>1548326.3917161215</v>
      </c>
    </row>
    <row r="15" spans="3:23" x14ac:dyDescent="0.45">
      <c r="C15" s="2"/>
      <c r="D15" s="2"/>
      <c r="E15" s="2"/>
      <c r="F15" s="2"/>
      <c r="G15" s="2"/>
      <c r="H15" s="2"/>
      <c r="I15" s="2"/>
      <c r="J15" s="2"/>
      <c r="K15" s="2"/>
      <c r="L15" s="2"/>
      <c r="N15">
        <v>14</v>
      </c>
      <c r="O15">
        <v>1572748.712437564</v>
      </c>
    </row>
    <row r="16" spans="3:23" x14ac:dyDescent="0.45">
      <c r="C16" s="2"/>
      <c r="D16" s="6" t="s">
        <v>16</v>
      </c>
      <c r="E16" s="5" t="s">
        <v>17</v>
      </c>
      <c r="F16" s="5" t="s">
        <v>26</v>
      </c>
      <c r="G16" s="5" t="s">
        <v>18</v>
      </c>
      <c r="H16" s="5" t="s">
        <v>19</v>
      </c>
      <c r="I16" s="5" t="s">
        <v>20</v>
      </c>
      <c r="J16" s="5" t="s">
        <v>21</v>
      </c>
      <c r="K16" s="5" t="s">
        <v>23</v>
      </c>
      <c r="L16" s="5" t="s">
        <v>24</v>
      </c>
      <c r="N16">
        <v>15</v>
      </c>
      <c r="O16">
        <v>1546103.626842085</v>
      </c>
    </row>
    <row r="17" spans="3:15" x14ac:dyDescent="0.45">
      <c r="C17" s="2"/>
      <c r="D17" s="2">
        <v>1</v>
      </c>
      <c r="E17" s="2">
        <v>30</v>
      </c>
      <c r="F17" s="11">
        <f ca="1">_xlfn.NORM.INV(RAND(),0.035,0.007)</f>
        <v>4.8028196270608635E-2</v>
      </c>
      <c r="G17" s="12">
        <v>70000</v>
      </c>
      <c r="H17" s="12">
        <f>G17*$D$5</f>
        <v>7000</v>
      </c>
      <c r="I17" s="12">
        <f>G17*$D$6</f>
        <v>2100</v>
      </c>
      <c r="J17" s="12">
        <f>H17+I17</f>
        <v>9100</v>
      </c>
      <c r="K17" s="2">
        <v>0</v>
      </c>
      <c r="L17" s="12">
        <f>J17+K17</f>
        <v>9100</v>
      </c>
      <c r="N17">
        <v>16</v>
      </c>
      <c r="O17">
        <v>1563563.3661326144</v>
      </c>
    </row>
    <row r="18" spans="3:15" x14ac:dyDescent="0.45">
      <c r="C18" s="2"/>
      <c r="D18" s="2">
        <v>2</v>
      </c>
      <c r="E18" s="2">
        <f>E17+1</f>
        <v>31</v>
      </c>
      <c r="F18" s="11">
        <f t="shared" ref="F18:F54" ca="1" si="0">_xlfn.NORM.INV(RAND(),0.035,0.007)</f>
        <v>3.4715631342321439E-2</v>
      </c>
      <c r="G18" s="12">
        <f ca="1">G17*(1+F18)</f>
        <v>72430.09419396249</v>
      </c>
      <c r="H18" s="12">
        <f t="shared" ref="H18:H54" ca="1" si="1">G18*$D$5</f>
        <v>7243.0094193962495</v>
      </c>
      <c r="I18" s="12">
        <f t="shared" ref="I18:I51" ca="1" si="2">G18*$D$6</f>
        <v>2172.9028258188746</v>
      </c>
      <c r="J18" s="12">
        <f t="shared" ref="J18:J51" ca="1" si="3">H18+I18</f>
        <v>9415.9122452151241</v>
      </c>
      <c r="K18" s="12">
        <f t="shared" ref="K18:K51" si="4">(J17*$J$11)+K17</f>
        <v>754.39</v>
      </c>
      <c r="L18" s="12">
        <f t="shared" ref="L18:L51" ca="1" si="5">J18+K18+L17</f>
        <v>19270.302245215124</v>
      </c>
      <c r="N18">
        <v>17</v>
      </c>
      <c r="O18">
        <v>1536497.1035854598</v>
      </c>
    </row>
    <row r="19" spans="3:15" x14ac:dyDescent="0.45">
      <c r="C19" s="2"/>
      <c r="D19" s="2">
        <v>3</v>
      </c>
      <c r="E19" s="2">
        <f t="shared" ref="E19:E54" si="6">E18+1</f>
        <v>32</v>
      </c>
      <c r="F19" s="11">
        <f t="shared" ca="1" si="0"/>
        <v>3.2721088294509898E-2</v>
      </c>
      <c r="G19" s="12">
        <f t="shared" ref="G19:G51" ca="1" si="7">G18*(1+F19)</f>
        <v>74800.085701262811</v>
      </c>
      <c r="H19" s="12">
        <f t="shared" ca="1" si="1"/>
        <v>7480.0085701262815</v>
      </c>
      <c r="I19" s="12">
        <f t="shared" ca="1" si="2"/>
        <v>2244.0025710378841</v>
      </c>
      <c r="J19" s="12">
        <f t="shared" ca="1" si="3"/>
        <v>9724.0111411641665</v>
      </c>
      <c r="K19" s="12">
        <f t="shared" ca="1" si="4"/>
        <v>1534.9691251283339</v>
      </c>
      <c r="L19" s="12">
        <f t="shared" ca="1" si="5"/>
        <v>30529.282511507623</v>
      </c>
      <c r="N19">
        <v>18</v>
      </c>
      <c r="O19">
        <v>1530184.6688205362</v>
      </c>
    </row>
    <row r="20" spans="3:15" x14ac:dyDescent="0.45">
      <c r="C20" s="2"/>
      <c r="D20" s="2">
        <v>4</v>
      </c>
      <c r="E20" s="2">
        <f t="shared" si="6"/>
        <v>33</v>
      </c>
      <c r="F20" s="11">
        <f t="shared" ca="1" si="0"/>
        <v>3.596385462294889E-2</v>
      </c>
      <c r="G20" s="12">
        <f t="shared" ca="1" si="7"/>
        <v>77490.185109207145</v>
      </c>
      <c r="H20" s="12">
        <f t="shared" ca="1" si="1"/>
        <v>7749.018510920715</v>
      </c>
      <c r="I20" s="12">
        <f t="shared" ca="1" si="2"/>
        <v>2324.7055532762142</v>
      </c>
      <c r="J20" s="12">
        <f t="shared" ca="1" si="3"/>
        <v>10073.724064196929</v>
      </c>
      <c r="K20" s="12">
        <f t="shared" ca="1" si="4"/>
        <v>2341.0896487308432</v>
      </c>
      <c r="L20" s="12">
        <f t="shared" ca="1" si="5"/>
        <v>42944.096224435394</v>
      </c>
      <c r="N20">
        <v>19</v>
      </c>
      <c r="O20">
        <v>1607483.3572997309</v>
      </c>
    </row>
    <row r="21" spans="3:15" x14ac:dyDescent="0.45">
      <c r="C21" s="2"/>
      <c r="D21" s="2">
        <v>5</v>
      </c>
      <c r="E21" s="2">
        <f t="shared" si="6"/>
        <v>34</v>
      </c>
      <c r="F21" s="11">
        <f t="shared" ca="1" si="0"/>
        <v>3.7451718400779571E-2</v>
      </c>
      <c r="G21" s="12">
        <f t="shared" ca="1" si="7"/>
        <v>80392.325700741465</v>
      </c>
      <c r="H21" s="12">
        <f t="shared" ca="1" si="1"/>
        <v>8039.2325700741467</v>
      </c>
      <c r="I21" s="12">
        <f t="shared" ca="1" si="2"/>
        <v>2411.7697710222437</v>
      </c>
      <c r="J21" s="12">
        <f t="shared" ca="1" si="3"/>
        <v>10451.002341096391</v>
      </c>
      <c r="K21" s="12">
        <f t="shared" ca="1" si="4"/>
        <v>3176.2013736527688</v>
      </c>
      <c r="L21" s="12">
        <f t="shared" ca="1" si="5"/>
        <v>56571.299939184551</v>
      </c>
      <c r="N21">
        <v>20</v>
      </c>
      <c r="O21">
        <v>1513454.6492695855</v>
      </c>
    </row>
    <row r="22" spans="3:15" x14ac:dyDescent="0.45">
      <c r="C22" s="2"/>
      <c r="D22" s="2">
        <v>6</v>
      </c>
      <c r="E22" s="2">
        <f t="shared" si="6"/>
        <v>35</v>
      </c>
      <c r="F22" s="11">
        <f t="shared" ca="1" si="0"/>
        <v>2.9247866766619949E-2</v>
      </c>
      <c r="G22" s="12">
        <f t="shared" ca="1" si="7"/>
        <v>82743.629731895475</v>
      </c>
      <c r="H22" s="12">
        <f t="shared" ca="1" si="1"/>
        <v>8274.3629731895471</v>
      </c>
      <c r="I22" s="12">
        <f t="shared" ca="1" si="2"/>
        <v>2482.308891956864</v>
      </c>
      <c r="J22" s="12">
        <f t="shared" ca="1" si="3"/>
        <v>10756.671865146411</v>
      </c>
      <c r="K22" s="12">
        <f t="shared" ca="1" si="4"/>
        <v>4042.5894677296596</v>
      </c>
      <c r="L22" s="12">
        <f t="shared" ca="1" si="5"/>
        <v>71370.561272060615</v>
      </c>
      <c r="N22">
        <v>21</v>
      </c>
      <c r="O22">
        <v>1517141.0447870193</v>
      </c>
    </row>
    <row r="23" spans="3:15" x14ac:dyDescent="0.45">
      <c r="C23" s="2"/>
      <c r="D23" s="2">
        <v>7</v>
      </c>
      <c r="E23" s="2">
        <f t="shared" si="6"/>
        <v>36</v>
      </c>
      <c r="F23" s="11">
        <f t="shared" ca="1" si="0"/>
        <v>3.6197719407570932E-2</v>
      </c>
      <c r="G23" s="12">
        <f t="shared" ca="1" si="7"/>
        <v>85738.760423694563</v>
      </c>
      <c r="H23" s="12">
        <f t="shared" ca="1" si="1"/>
        <v>8573.8760423694566</v>
      </c>
      <c r="I23" s="12">
        <f t="shared" ca="1" si="2"/>
        <v>2572.162812710837</v>
      </c>
      <c r="J23" s="12">
        <f t="shared" ca="1" si="3"/>
        <v>11146.038855080293</v>
      </c>
      <c r="K23" s="12">
        <f t="shared" ca="1" si="4"/>
        <v>4934.3175653502967</v>
      </c>
      <c r="L23" s="12">
        <f t="shared" ca="1" si="5"/>
        <v>87450.917692491203</v>
      </c>
      <c r="N23">
        <v>22</v>
      </c>
      <c r="O23">
        <v>1526620.1729412347</v>
      </c>
    </row>
    <row r="24" spans="3:15" x14ac:dyDescent="0.45">
      <c r="C24" s="2"/>
      <c r="D24" s="2">
        <v>8</v>
      </c>
      <c r="E24" s="2">
        <f t="shared" si="6"/>
        <v>37</v>
      </c>
      <c r="F24" s="11">
        <f t="shared" ca="1" si="0"/>
        <v>2.6107639183739307E-2</v>
      </c>
      <c r="G24" s="12">
        <f t="shared" ca="1" si="7"/>
        <v>87977.197044897446</v>
      </c>
      <c r="H24" s="12">
        <f t="shared" ca="1" si="1"/>
        <v>8797.7197044897457</v>
      </c>
      <c r="I24" s="12">
        <f t="shared" ca="1" si="2"/>
        <v>2639.3159113469233</v>
      </c>
      <c r="J24" s="12">
        <f t="shared" ca="1" si="3"/>
        <v>11437.035615836669</v>
      </c>
      <c r="K24" s="12">
        <f t="shared" ca="1" si="4"/>
        <v>5858.3241864364527</v>
      </c>
      <c r="L24" s="12">
        <f t="shared" ca="1" si="5"/>
        <v>104746.27749476432</v>
      </c>
      <c r="N24">
        <v>23</v>
      </c>
      <c r="O24">
        <v>1530530.4146862153</v>
      </c>
    </row>
    <row r="25" spans="3:15" x14ac:dyDescent="0.45">
      <c r="C25" s="2"/>
      <c r="D25" s="2">
        <v>9</v>
      </c>
      <c r="E25" s="2">
        <f t="shared" si="6"/>
        <v>38</v>
      </c>
      <c r="F25" s="11">
        <f t="shared" ca="1" si="0"/>
        <v>4.3665874360427917E-2</v>
      </c>
      <c r="G25" s="12">
        <f t="shared" ca="1" si="7"/>
        <v>91818.798277642549</v>
      </c>
      <c r="H25" s="12">
        <f t="shared" ca="1" si="1"/>
        <v>9181.8798277642545</v>
      </c>
      <c r="I25" s="12">
        <f t="shared" ca="1" si="2"/>
        <v>2754.5639483292762</v>
      </c>
      <c r="J25" s="12">
        <f t="shared" ca="1" si="3"/>
        <v>11936.443776093531</v>
      </c>
      <c r="K25" s="12">
        <f t="shared" ca="1" si="4"/>
        <v>6806.4544389893126</v>
      </c>
      <c r="L25" s="12">
        <f t="shared" ca="1" si="5"/>
        <v>123489.17570984716</v>
      </c>
      <c r="N25">
        <v>24</v>
      </c>
      <c r="O25">
        <v>1530092.1555209064</v>
      </c>
    </row>
    <row r="26" spans="3:15" x14ac:dyDescent="0.45">
      <c r="C26" s="2"/>
      <c r="D26" s="2">
        <v>10</v>
      </c>
      <c r="E26" s="2">
        <f t="shared" si="6"/>
        <v>39</v>
      </c>
      <c r="F26" s="11">
        <f t="shared" ca="1" si="0"/>
        <v>4.594317476419435E-2</v>
      </c>
      <c r="G26" s="12">
        <f t="shared" ca="1" si="7"/>
        <v>96037.245373550584</v>
      </c>
      <c r="H26" s="12">
        <f t="shared" ca="1" si="1"/>
        <v>9603.7245373550595</v>
      </c>
      <c r="I26" s="12">
        <f t="shared" ca="1" si="2"/>
        <v>2881.1173612065172</v>
      </c>
      <c r="J26" s="12">
        <f t="shared" ca="1" si="3"/>
        <v>12484.841898561577</v>
      </c>
      <c r="K26" s="12">
        <f t="shared" ca="1" si="4"/>
        <v>7795.9856280274662</v>
      </c>
      <c r="L26" s="12">
        <f t="shared" ca="1" si="5"/>
        <v>143770.0032364362</v>
      </c>
      <c r="N26">
        <v>25</v>
      </c>
      <c r="O26">
        <v>1552681.0930709445</v>
      </c>
    </row>
    <row r="27" spans="3:15" x14ac:dyDescent="0.45">
      <c r="C27" s="2"/>
      <c r="D27" s="2">
        <v>11</v>
      </c>
      <c r="E27" s="2">
        <f t="shared" si="6"/>
        <v>40</v>
      </c>
      <c r="F27" s="11">
        <f t="shared" ca="1" si="0"/>
        <v>3.6759382888689671E-2</v>
      </c>
      <c r="G27" s="12">
        <f t="shared" ca="1" si="7"/>
        <v>99567.515247811971</v>
      </c>
      <c r="H27" s="12">
        <f t="shared" ca="1" si="1"/>
        <v>9956.7515247811971</v>
      </c>
      <c r="I27" s="12">
        <f t="shared" ca="1" si="2"/>
        <v>2987.0254574343589</v>
      </c>
      <c r="J27" s="12">
        <f t="shared" ca="1" si="3"/>
        <v>12943.776982215557</v>
      </c>
      <c r="K27" s="12">
        <f t="shared" ca="1" si="4"/>
        <v>8830.9790214182212</v>
      </c>
      <c r="L27" s="12">
        <f t="shared" ca="1" si="5"/>
        <v>165544.75924006998</v>
      </c>
      <c r="N27">
        <v>26</v>
      </c>
      <c r="O27">
        <v>1582619.3146196324</v>
      </c>
    </row>
    <row r="28" spans="3:15" x14ac:dyDescent="0.45">
      <c r="C28" s="2"/>
      <c r="D28" s="2">
        <v>12</v>
      </c>
      <c r="E28" s="2">
        <f t="shared" si="6"/>
        <v>41</v>
      </c>
      <c r="F28" s="11">
        <f t="shared" ca="1" si="0"/>
        <v>4.3039793841743126E-2</v>
      </c>
      <c r="G28" s="12">
        <f t="shared" ca="1" si="7"/>
        <v>103852.8805774124</v>
      </c>
      <c r="H28" s="12">
        <f t="shared" ca="1" si="1"/>
        <v>10385.288057741242</v>
      </c>
      <c r="I28" s="12">
        <f t="shared" ca="1" si="2"/>
        <v>3115.5864173223722</v>
      </c>
      <c r="J28" s="12">
        <f t="shared" ca="1" si="3"/>
        <v>13500.874475063614</v>
      </c>
      <c r="K28" s="12">
        <f t="shared" ca="1" si="4"/>
        <v>9904.0181332438915</v>
      </c>
      <c r="L28" s="12">
        <f t="shared" ca="1" si="5"/>
        <v>188949.65184837749</v>
      </c>
      <c r="N28">
        <v>27</v>
      </c>
      <c r="O28">
        <v>1526761.3107693789</v>
      </c>
    </row>
    <row r="29" spans="3:15" x14ac:dyDescent="0.45">
      <c r="C29" s="2"/>
      <c r="D29" s="2">
        <v>13</v>
      </c>
      <c r="E29" s="2">
        <f t="shared" si="6"/>
        <v>42</v>
      </c>
      <c r="F29" s="11">
        <f t="shared" ca="1" si="0"/>
        <v>2.5090824506227998E-2</v>
      </c>
      <c r="G29" s="12">
        <f t="shared" ca="1" si="7"/>
        <v>106458.63497844651</v>
      </c>
      <c r="H29" s="12">
        <f t="shared" ca="1" si="1"/>
        <v>10645.863497844652</v>
      </c>
      <c r="I29" s="12">
        <f t="shared" ca="1" si="2"/>
        <v>3193.7590493533953</v>
      </c>
      <c r="J29" s="12">
        <f t="shared" ca="1" si="3"/>
        <v>13839.622547198047</v>
      </c>
      <c r="K29" s="12">
        <f t="shared" ca="1" si="4"/>
        <v>11023.240627226665</v>
      </c>
      <c r="L29" s="12">
        <f t="shared" ca="1" si="5"/>
        <v>213812.5150228022</v>
      </c>
      <c r="N29">
        <v>28</v>
      </c>
      <c r="O29">
        <v>1534057.4043328986</v>
      </c>
    </row>
    <row r="30" spans="3:15" x14ac:dyDescent="0.45">
      <c r="C30" s="2"/>
      <c r="D30" s="2">
        <v>14</v>
      </c>
      <c r="E30" s="2">
        <f t="shared" si="6"/>
        <v>43</v>
      </c>
      <c r="F30" s="11">
        <f t="shared" ca="1" si="0"/>
        <v>3.3954396366259174E-2</v>
      </c>
      <c r="G30" s="12">
        <f t="shared" ca="1" si="7"/>
        <v>110073.37366711559</v>
      </c>
      <c r="H30" s="12">
        <f t="shared" ca="1" si="1"/>
        <v>11007.337366711559</v>
      </c>
      <c r="I30" s="12">
        <f t="shared" ca="1" si="2"/>
        <v>3302.2012100134675</v>
      </c>
      <c r="J30" s="12">
        <f t="shared" ca="1" si="3"/>
        <v>14309.538576725026</v>
      </c>
      <c r="K30" s="12">
        <f t="shared" ca="1" si="4"/>
        <v>12170.545336389383</v>
      </c>
      <c r="L30" s="12">
        <f t="shared" ca="1" si="5"/>
        <v>240292.59893591661</v>
      </c>
      <c r="N30">
        <v>29</v>
      </c>
      <c r="O30">
        <v>1492288.2260803883</v>
      </c>
    </row>
    <row r="31" spans="3:15" x14ac:dyDescent="0.45">
      <c r="C31" s="2"/>
      <c r="D31" s="2">
        <v>15</v>
      </c>
      <c r="E31" s="2">
        <f t="shared" si="6"/>
        <v>44</v>
      </c>
      <c r="F31" s="11">
        <f t="shared" ca="1" si="0"/>
        <v>2.5337166945411393E-2</v>
      </c>
      <c r="G31" s="12">
        <f t="shared" ca="1" si="7"/>
        <v>112862.32111196396</v>
      </c>
      <c r="H31" s="12">
        <f t="shared" ca="1" si="1"/>
        <v>11286.232111196397</v>
      </c>
      <c r="I31" s="12">
        <f t="shared" ca="1" si="2"/>
        <v>3385.8696333589187</v>
      </c>
      <c r="J31" s="12">
        <f t="shared" ca="1" si="3"/>
        <v>14672.101744555315</v>
      </c>
      <c r="K31" s="12">
        <f t="shared" ca="1" si="4"/>
        <v>13356.806084399888</v>
      </c>
      <c r="L31" s="12">
        <f t="shared" ca="1" si="5"/>
        <v>268321.50676487182</v>
      </c>
      <c r="N31">
        <v>30</v>
      </c>
      <c r="O31">
        <v>1572079.630707565</v>
      </c>
    </row>
    <row r="32" spans="3:15" x14ac:dyDescent="0.45">
      <c r="C32" s="2"/>
      <c r="D32" s="2">
        <v>16</v>
      </c>
      <c r="E32" s="2">
        <f t="shared" si="6"/>
        <v>45</v>
      </c>
      <c r="F32" s="11">
        <f t="shared" ca="1" si="0"/>
        <v>2.7477644548608571E-2</v>
      </c>
      <c r="G32" s="12">
        <f t="shared" ca="1" si="7"/>
        <v>115963.51185440941</v>
      </c>
      <c r="H32" s="12">
        <f t="shared" ca="1" si="1"/>
        <v>11596.351185440943</v>
      </c>
      <c r="I32" s="12">
        <f t="shared" ca="1" si="2"/>
        <v>3478.9053556322824</v>
      </c>
      <c r="J32" s="12">
        <f t="shared" ca="1" si="3"/>
        <v>15075.256541073224</v>
      </c>
      <c r="K32" s="12">
        <f t="shared" ca="1" si="4"/>
        <v>14573.123319023523</v>
      </c>
      <c r="L32" s="12">
        <f t="shared" ca="1" si="5"/>
        <v>297969.88662496855</v>
      </c>
      <c r="N32">
        <v>31</v>
      </c>
      <c r="O32">
        <v>1617393.476669987</v>
      </c>
    </row>
    <row r="33" spans="3:15" x14ac:dyDescent="0.45">
      <c r="C33" s="2"/>
      <c r="D33" s="2">
        <v>17</v>
      </c>
      <c r="E33" s="2">
        <f t="shared" si="6"/>
        <v>46</v>
      </c>
      <c r="F33" s="11">
        <f t="shared" ca="1" si="0"/>
        <v>2.448673717675829E-2</v>
      </c>
      <c r="G33" s="12">
        <f t="shared" ca="1" si="7"/>
        <v>118803.07989128224</v>
      </c>
      <c r="H33" s="12">
        <f t="shared" ca="1" si="1"/>
        <v>11880.307989128225</v>
      </c>
      <c r="I33" s="12">
        <f t="shared" ca="1" si="2"/>
        <v>3564.092396738467</v>
      </c>
      <c r="J33" s="12">
        <f t="shared" ca="1" si="3"/>
        <v>15444.400385866691</v>
      </c>
      <c r="K33" s="12">
        <f t="shared" ca="1" si="4"/>
        <v>15822.862086278494</v>
      </c>
      <c r="L33" s="12">
        <f t="shared" ca="1" si="5"/>
        <v>329237.14909711375</v>
      </c>
      <c r="N33">
        <v>32</v>
      </c>
      <c r="O33">
        <v>1529182.5770804021</v>
      </c>
    </row>
    <row r="34" spans="3:15" x14ac:dyDescent="0.45">
      <c r="C34" s="2"/>
      <c r="D34" s="2">
        <v>18</v>
      </c>
      <c r="E34" s="2">
        <f t="shared" si="6"/>
        <v>47</v>
      </c>
      <c r="F34" s="11">
        <f t="shared" ca="1" si="0"/>
        <v>3.6437750047752786E-2</v>
      </c>
      <c r="G34" s="12">
        <f t="shared" ca="1" si="7"/>
        <v>123131.99682126399</v>
      </c>
      <c r="H34" s="12">
        <f t="shared" ca="1" si="1"/>
        <v>12313.1996821264</v>
      </c>
      <c r="I34" s="12">
        <f t="shared" ca="1" si="2"/>
        <v>3693.9599046379199</v>
      </c>
      <c r="J34" s="12">
        <f t="shared" ca="1" si="3"/>
        <v>16007.159586764319</v>
      </c>
      <c r="K34" s="12">
        <f t="shared" ca="1" si="4"/>
        <v>17103.202878266842</v>
      </c>
      <c r="L34" s="12">
        <f t="shared" ca="1" si="5"/>
        <v>362347.51156214491</v>
      </c>
      <c r="N34">
        <v>33</v>
      </c>
      <c r="O34">
        <v>1518746.5595537</v>
      </c>
    </row>
    <row r="35" spans="3:15" x14ac:dyDescent="0.45">
      <c r="C35" s="2"/>
      <c r="D35" s="2">
        <v>19</v>
      </c>
      <c r="E35" s="2">
        <f t="shared" si="6"/>
        <v>48</v>
      </c>
      <c r="F35" s="11">
        <f t="shared" ca="1" si="0"/>
        <v>3.296568776167462E-2</v>
      </c>
      <c r="G35" s="12">
        <f t="shared" ca="1" si="7"/>
        <v>127191.1277819453</v>
      </c>
      <c r="H35" s="12">
        <f t="shared" ca="1" si="1"/>
        <v>12719.112778194531</v>
      </c>
      <c r="I35" s="12">
        <f t="shared" ca="1" si="2"/>
        <v>3815.7338334583587</v>
      </c>
      <c r="J35" s="12">
        <f t="shared" ca="1" si="3"/>
        <v>16534.846611652891</v>
      </c>
      <c r="K35" s="12">
        <f t="shared" ca="1" si="4"/>
        <v>18430.196408009604</v>
      </c>
      <c r="L35" s="12">
        <f t="shared" ca="1" si="5"/>
        <v>397312.5545818074</v>
      </c>
      <c r="N35">
        <v>34</v>
      </c>
      <c r="O35">
        <v>1587376.0440816691</v>
      </c>
    </row>
    <row r="36" spans="3:15" x14ac:dyDescent="0.45">
      <c r="C36" s="2"/>
      <c r="D36" s="2">
        <v>20</v>
      </c>
      <c r="E36" s="2">
        <f t="shared" si="6"/>
        <v>49</v>
      </c>
      <c r="F36" s="11">
        <f t="shared" ca="1" si="0"/>
        <v>4.3898524161721623E-2</v>
      </c>
      <c r="G36" s="12">
        <f t="shared" ca="1" si="7"/>
        <v>132774.63057803764</v>
      </c>
      <c r="H36" s="12">
        <f t="shared" ca="1" si="1"/>
        <v>13277.463057803765</v>
      </c>
      <c r="I36" s="12">
        <f t="shared" ca="1" si="2"/>
        <v>3983.2389173411293</v>
      </c>
      <c r="J36" s="12">
        <f t="shared" ca="1" si="3"/>
        <v>17260.701975144893</v>
      </c>
      <c r="K36" s="12">
        <f t="shared" ca="1" si="4"/>
        <v>19800.93519211563</v>
      </c>
      <c r="L36" s="12">
        <f t="shared" ca="1" si="5"/>
        <v>434374.19174906792</v>
      </c>
      <c r="N36">
        <v>35</v>
      </c>
      <c r="O36">
        <v>1475322.8929715578</v>
      </c>
    </row>
    <row r="37" spans="3:15" x14ac:dyDescent="0.45">
      <c r="C37" s="2"/>
      <c r="D37" s="2">
        <v>21</v>
      </c>
      <c r="E37" s="2">
        <f t="shared" si="6"/>
        <v>50</v>
      </c>
      <c r="F37" s="11">
        <f t="shared" ca="1" si="0"/>
        <v>3.730608920283985E-2</v>
      </c>
      <c r="G37" s="12">
        <f t="shared" ca="1" si="7"/>
        <v>137727.93279025602</v>
      </c>
      <c r="H37" s="12">
        <f t="shared" ca="1" si="1"/>
        <v>13772.793279025602</v>
      </c>
      <c r="I37" s="12">
        <f t="shared" ca="1" si="2"/>
        <v>4131.83798370768</v>
      </c>
      <c r="J37" s="12">
        <f t="shared" ca="1" si="3"/>
        <v>17904.631262733281</v>
      </c>
      <c r="K37" s="12">
        <f t="shared" ca="1" si="4"/>
        <v>21231.847385855141</v>
      </c>
      <c r="L37" s="12">
        <f t="shared" ca="1" si="5"/>
        <v>473510.67039765633</v>
      </c>
      <c r="N37">
        <v>36</v>
      </c>
      <c r="O37">
        <v>1597798.878830336</v>
      </c>
    </row>
    <row r="38" spans="3:15" x14ac:dyDescent="0.45">
      <c r="C38" s="2"/>
      <c r="D38" s="2">
        <v>22</v>
      </c>
      <c r="E38" s="2">
        <f t="shared" si="6"/>
        <v>51</v>
      </c>
      <c r="F38" s="11">
        <f t="shared" ca="1" si="0"/>
        <v>4.5675600140876946E-2</v>
      </c>
      <c r="G38" s="12">
        <f t="shared" ca="1" si="7"/>
        <v>144018.73877661332</v>
      </c>
      <c r="H38" s="12">
        <f t="shared" ca="1" si="1"/>
        <v>14401.873877661332</v>
      </c>
      <c r="I38" s="12">
        <f t="shared" ca="1" si="2"/>
        <v>4320.5621632983994</v>
      </c>
      <c r="J38" s="12">
        <f t="shared" ca="1" si="3"/>
        <v>18722.436040959732</v>
      </c>
      <c r="K38" s="12">
        <f t="shared" ca="1" si="4"/>
        <v>22716.14131753573</v>
      </c>
      <c r="L38" s="12">
        <f t="shared" ca="1" si="5"/>
        <v>514949.24775615177</v>
      </c>
      <c r="N38">
        <v>37</v>
      </c>
      <c r="O38">
        <v>1516424.9032003905</v>
      </c>
    </row>
    <row r="39" spans="3:15" x14ac:dyDescent="0.45">
      <c r="C39" s="2"/>
      <c r="D39" s="2">
        <v>23</v>
      </c>
      <c r="E39" s="2">
        <f t="shared" si="6"/>
        <v>52</v>
      </c>
      <c r="F39" s="11">
        <f t="shared" ca="1" si="0"/>
        <v>3.9385039729452426E-2</v>
      </c>
      <c r="G39" s="12">
        <f t="shared" ca="1" si="7"/>
        <v>149690.92252511586</v>
      </c>
      <c r="H39" s="12">
        <f t="shared" ca="1" si="1"/>
        <v>14969.092252511588</v>
      </c>
      <c r="I39" s="12">
        <f t="shared" ca="1" si="2"/>
        <v>4490.7276757534755</v>
      </c>
      <c r="J39" s="12">
        <f t="shared" ca="1" si="3"/>
        <v>19459.819928265064</v>
      </c>
      <c r="K39" s="12">
        <f t="shared" ca="1" si="4"/>
        <v>24268.231265331291</v>
      </c>
      <c r="L39" s="12">
        <f t="shared" ca="1" si="5"/>
        <v>558677.29894974816</v>
      </c>
      <c r="N39">
        <v>38</v>
      </c>
      <c r="O39">
        <v>1541718.6014224889</v>
      </c>
    </row>
    <row r="40" spans="3:15" x14ac:dyDescent="0.45">
      <c r="C40" s="2"/>
      <c r="D40" s="2">
        <v>24</v>
      </c>
      <c r="E40" s="2">
        <f t="shared" si="6"/>
        <v>53</v>
      </c>
      <c r="F40" s="11">
        <f t="shared" ca="1" si="0"/>
        <v>4.0264040587622077E-2</v>
      </c>
      <c r="G40" s="12">
        <f t="shared" ca="1" si="7"/>
        <v>155718.08390526572</v>
      </c>
      <c r="H40" s="12">
        <f t="shared" ca="1" si="1"/>
        <v>15571.808390526574</v>
      </c>
      <c r="I40" s="12">
        <f t="shared" ca="1" si="2"/>
        <v>4671.5425171579718</v>
      </c>
      <c r="J40" s="12">
        <f t="shared" ca="1" si="3"/>
        <v>20243.350907684544</v>
      </c>
      <c r="K40" s="12">
        <f t="shared" ca="1" si="4"/>
        <v>25881.450337384464</v>
      </c>
      <c r="L40" s="12">
        <f t="shared" ca="1" si="5"/>
        <v>604802.10019481718</v>
      </c>
      <c r="N40">
        <v>39</v>
      </c>
      <c r="O40">
        <v>1513487.9997946974</v>
      </c>
    </row>
    <row r="41" spans="3:15" x14ac:dyDescent="0.45">
      <c r="C41" s="2"/>
      <c r="D41" s="2">
        <v>25</v>
      </c>
      <c r="E41" s="2">
        <f t="shared" si="6"/>
        <v>54</v>
      </c>
      <c r="F41" s="11">
        <f t="shared" ca="1" si="0"/>
        <v>3.5910285584397419E-2</v>
      </c>
      <c r="G41" s="12">
        <f t="shared" ca="1" si="7"/>
        <v>161309.96476895898</v>
      </c>
      <c r="H41" s="12">
        <f t="shared" ca="1" si="1"/>
        <v>16130.996476895898</v>
      </c>
      <c r="I41" s="12">
        <f t="shared" ca="1" si="2"/>
        <v>4839.2989430687694</v>
      </c>
      <c r="J41" s="12">
        <f t="shared" ca="1" si="3"/>
        <v>20970.295419964667</v>
      </c>
      <c r="K41" s="12">
        <f t="shared" ca="1" si="4"/>
        <v>27559.624127631512</v>
      </c>
      <c r="L41" s="12">
        <f t="shared" ca="1" si="5"/>
        <v>653332.01974241331</v>
      </c>
      <c r="N41">
        <v>40</v>
      </c>
      <c r="O41">
        <v>1585721.2884121237</v>
      </c>
    </row>
    <row r="42" spans="3:15" x14ac:dyDescent="0.45">
      <c r="C42" s="2"/>
      <c r="D42" s="2">
        <v>26</v>
      </c>
      <c r="E42" s="2">
        <f t="shared" si="6"/>
        <v>55</v>
      </c>
      <c r="F42" s="11">
        <f t="shared" ca="1" si="0"/>
        <v>3.1688658231164873E-2</v>
      </c>
      <c r="G42" s="12">
        <f t="shared" ca="1" si="7"/>
        <v>166421.66111180375</v>
      </c>
      <c r="H42" s="12">
        <f t="shared" ca="1" si="1"/>
        <v>16642.166111180377</v>
      </c>
      <c r="I42" s="12">
        <f t="shared" ca="1" si="2"/>
        <v>4992.6498333541122</v>
      </c>
      <c r="J42" s="12">
        <f t="shared" ca="1" si="3"/>
        <v>21634.81594453449</v>
      </c>
      <c r="K42" s="12">
        <f t="shared" ca="1" si="4"/>
        <v>29298.061617946583</v>
      </c>
      <c r="L42" s="12">
        <f t="shared" ca="1" si="5"/>
        <v>704264.8973048944</v>
      </c>
      <c r="N42">
        <v>41</v>
      </c>
      <c r="O42">
        <v>1527848.3112300227</v>
      </c>
    </row>
    <row r="43" spans="3:15" x14ac:dyDescent="0.45">
      <c r="C43" s="2"/>
      <c r="D43" s="2">
        <v>27</v>
      </c>
      <c r="E43" s="2">
        <f t="shared" si="6"/>
        <v>56</v>
      </c>
      <c r="F43" s="11">
        <f t="shared" ca="1" si="0"/>
        <v>3.4158286501955661E-2</v>
      </c>
      <c r="G43" s="12">
        <f t="shared" ca="1" si="7"/>
        <v>172106.3398921921</v>
      </c>
      <c r="H43" s="12">
        <f t="shared" ca="1" si="1"/>
        <v>17210.633989219212</v>
      </c>
      <c r="I43" s="12">
        <f t="shared" ca="1" si="2"/>
        <v>5163.1901967657632</v>
      </c>
      <c r="J43" s="12">
        <f t="shared" ca="1" si="3"/>
        <v>22373.824185984973</v>
      </c>
      <c r="K43" s="12">
        <f t="shared" ca="1" si="4"/>
        <v>31091.587859748492</v>
      </c>
      <c r="L43" s="12">
        <f t="shared" ca="1" si="5"/>
        <v>757730.30935062782</v>
      </c>
      <c r="N43">
        <v>42</v>
      </c>
      <c r="O43">
        <v>1612600.392114308</v>
      </c>
    </row>
    <row r="44" spans="3:15" x14ac:dyDescent="0.45">
      <c r="C44" s="2"/>
      <c r="D44" s="2">
        <v>28</v>
      </c>
      <c r="E44" s="2">
        <f t="shared" si="6"/>
        <v>57</v>
      </c>
      <c r="F44" s="11">
        <f t="shared" ca="1" si="0"/>
        <v>4.4391112403854169E-2</v>
      </c>
      <c r="G44" s="12">
        <f t="shared" ca="1" si="7"/>
        <v>179746.33177176231</v>
      </c>
      <c r="H44" s="12">
        <f t="shared" ca="1" si="1"/>
        <v>17974.633177176231</v>
      </c>
      <c r="I44" s="12">
        <f t="shared" ca="1" si="2"/>
        <v>5392.3899531528696</v>
      </c>
      <c r="J44" s="12">
        <f t="shared" ca="1" si="3"/>
        <v>23367.0231303291</v>
      </c>
      <c r="K44" s="12">
        <f t="shared" ca="1" si="4"/>
        <v>32946.377884766647</v>
      </c>
      <c r="L44" s="12">
        <f t="shared" ca="1" si="5"/>
        <v>814043.71036572359</v>
      </c>
      <c r="N44">
        <v>43</v>
      </c>
      <c r="O44">
        <v>1545298.7814585541</v>
      </c>
    </row>
    <row r="45" spans="3:15" x14ac:dyDescent="0.45">
      <c r="C45" s="2"/>
      <c r="D45" s="2">
        <v>29</v>
      </c>
      <c r="E45" s="2">
        <f t="shared" si="6"/>
        <v>58</v>
      </c>
      <c r="F45" s="11">
        <f t="shared" ca="1" si="0"/>
        <v>3.3313900725889085E-2</v>
      </c>
      <c r="G45" s="12">
        <f t="shared" ca="1" si="7"/>
        <v>185734.38322424953</v>
      </c>
      <c r="H45" s="12">
        <f t="shared" ca="1" si="1"/>
        <v>18573.438322424954</v>
      </c>
      <c r="I45" s="12">
        <f t="shared" ca="1" si="2"/>
        <v>5572.0314967274853</v>
      </c>
      <c r="J45" s="12">
        <f t="shared" ca="1" si="3"/>
        <v>24145.46981915244</v>
      </c>
      <c r="K45" s="12">
        <f t="shared" ca="1" si="4"/>
        <v>34883.504102270927</v>
      </c>
      <c r="L45" s="12">
        <f t="shared" ca="1" si="5"/>
        <v>873072.6842871469</v>
      </c>
      <c r="N45">
        <v>44</v>
      </c>
      <c r="O45">
        <v>1493500.112308051</v>
      </c>
    </row>
    <row r="46" spans="3:15" x14ac:dyDescent="0.45">
      <c r="C46" s="2"/>
      <c r="D46" s="2">
        <v>30</v>
      </c>
      <c r="E46" s="2">
        <f t="shared" si="6"/>
        <v>59</v>
      </c>
      <c r="F46" s="11">
        <f t="shared" ca="1" si="0"/>
        <v>4.0055562641419185E-2</v>
      </c>
      <c r="G46" s="12">
        <f t="shared" ca="1" si="7"/>
        <v>193174.07844615381</v>
      </c>
      <c r="H46" s="12">
        <f t="shared" ca="1" si="1"/>
        <v>19317.407844615384</v>
      </c>
      <c r="I46" s="12">
        <f t="shared" ca="1" si="2"/>
        <v>5795.2223533846145</v>
      </c>
      <c r="J46" s="12">
        <f t="shared" ca="1" si="3"/>
        <v>25112.630197999999</v>
      </c>
      <c r="K46" s="12">
        <f t="shared" ca="1" si="4"/>
        <v>36885.163550278667</v>
      </c>
      <c r="L46" s="12">
        <f t="shared" ca="1" si="5"/>
        <v>935070.47803542553</v>
      </c>
      <c r="N46">
        <v>45</v>
      </c>
      <c r="O46">
        <v>1560186.3779533089</v>
      </c>
    </row>
    <row r="47" spans="3:15" x14ac:dyDescent="0.45">
      <c r="C47" s="2"/>
      <c r="D47" s="2">
        <v>31</v>
      </c>
      <c r="E47" s="2">
        <f t="shared" si="6"/>
        <v>60</v>
      </c>
      <c r="F47" s="11">
        <f t="shared" ca="1" si="0"/>
        <v>3.1752935706233325E-2</v>
      </c>
      <c r="G47" s="12">
        <f t="shared" ca="1" si="7"/>
        <v>199307.92253916542</v>
      </c>
      <c r="H47" s="12">
        <f t="shared" ca="1" si="1"/>
        <v>19930.792253916545</v>
      </c>
      <c r="I47" s="12">
        <f t="shared" ca="1" si="2"/>
        <v>5979.237676174962</v>
      </c>
      <c r="J47" s="12">
        <f t="shared" ca="1" si="3"/>
        <v>25910.029930091507</v>
      </c>
      <c r="K47" s="12">
        <f t="shared" ca="1" si="4"/>
        <v>38967.000593692865</v>
      </c>
      <c r="L47" s="12">
        <f t="shared" ca="1" si="5"/>
        <v>999947.50855920988</v>
      </c>
      <c r="N47">
        <v>46</v>
      </c>
      <c r="O47">
        <v>1560664.0775227689</v>
      </c>
    </row>
    <row r="48" spans="3:15" x14ac:dyDescent="0.45">
      <c r="C48" s="2"/>
      <c r="D48" s="2">
        <v>32</v>
      </c>
      <c r="E48" s="2">
        <f t="shared" si="6"/>
        <v>61</v>
      </c>
      <c r="F48" s="11">
        <f t="shared" ca="1" si="0"/>
        <v>4.0376455963822687E-2</v>
      </c>
      <c r="G48" s="12">
        <f t="shared" ca="1" si="7"/>
        <v>207355.27009680902</v>
      </c>
      <c r="H48" s="12">
        <f t="shared" ca="1" si="1"/>
        <v>20735.527009680904</v>
      </c>
      <c r="I48" s="12">
        <f t="shared" ca="1" si="2"/>
        <v>6220.65810290427</v>
      </c>
      <c r="J48" s="12">
        <f t="shared" ca="1" si="3"/>
        <v>26956.185112585175</v>
      </c>
      <c r="K48" s="12">
        <f t="shared" ca="1" si="4"/>
        <v>41114.942074897452</v>
      </c>
      <c r="L48" s="12">
        <f t="shared" ca="1" si="5"/>
        <v>1068018.6357466925</v>
      </c>
      <c r="N48">
        <v>47</v>
      </c>
      <c r="O48">
        <v>1594868.5824605389</v>
      </c>
    </row>
    <row r="49" spans="3:15" x14ac:dyDescent="0.45">
      <c r="C49" s="2"/>
      <c r="D49" s="2">
        <v>33</v>
      </c>
      <c r="E49" s="2">
        <f t="shared" si="6"/>
        <v>62</v>
      </c>
      <c r="F49" s="11">
        <f t="shared" ca="1" si="0"/>
        <v>3.3650675159931517E-2</v>
      </c>
      <c r="G49" s="12">
        <f t="shared" ca="1" si="7"/>
        <v>214332.91493353658</v>
      </c>
      <c r="H49" s="12">
        <f t="shared" ca="1" si="1"/>
        <v>21433.291493353659</v>
      </c>
      <c r="I49" s="12">
        <f t="shared" ca="1" si="2"/>
        <v>6429.9874480060971</v>
      </c>
      <c r="J49" s="12">
        <f t="shared" ca="1" si="3"/>
        <v>27863.278941359757</v>
      </c>
      <c r="K49" s="12">
        <f t="shared" ca="1" si="4"/>
        <v>43349.609820730766</v>
      </c>
      <c r="L49" s="12">
        <f t="shared" ca="1" si="5"/>
        <v>1139231.5245087831</v>
      </c>
      <c r="N49">
        <v>48</v>
      </c>
      <c r="O49">
        <v>1527884.6003919207</v>
      </c>
    </row>
    <row r="50" spans="3:15" x14ac:dyDescent="0.45">
      <c r="C50" s="2"/>
      <c r="D50" s="2">
        <v>34</v>
      </c>
      <c r="E50" s="2">
        <f t="shared" si="6"/>
        <v>63</v>
      </c>
      <c r="F50" s="11">
        <f t="shared" ca="1" si="0"/>
        <v>4.0411135617380564E-2</v>
      </c>
      <c r="G50" s="12">
        <f t="shared" ca="1" si="7"/>
        <v>222994.35142618424</v>
      </c>
      <c r="H50" s="12">
        <f t="shared" ca="1" si="1"/>
        <v>22299.435142618426</v>
      </c>
      <c r="I50" s="12">
        <f t="shared" ca="1" si="2"/>
        <v>6689.8305427855266</v>
      </c>
      <c r="J50" s="12">
        <f t="shared" ca="1" si="3"/>
        <v>28989.265685403952</v>
      </c>
      <c r="K50" s="12">
        <f t="shared" ca="1" si="4"/>
        <v>45659.475644969491</v>
      </c>
      <c r="L50" s="12">
        <f t="shared" ca="1" si="5"/>
        <v>1213880.2658391567</v>
      </c>
      <c r="N50">
        <v>49</v>
      </c>
      <c r="O50">
        <v>1530384.9378813144</v>
      </c>
    </row>
    <row r="51" spans="3:15" x14ac:dyDescent="0.45">
      <c r="C51" s="2"/>
      <c r="D51" s="2">
        <v>35</v>
      </c>
      <c r="E51" s="2">
        <f t="shared" si="6"/>
        <v>64</v>
      </c>
      <c r="F51" s="11">
        <f t="shared" ca="1" si="0"/>
        <v>3.8452273451052878E-2</v>
      </c>
      <c r="G51" s="12">
        <f t="shared" ca="1" si="7"/>
        <v>231568.99120526406</v>
      </c>
      <c r="H51" s="12">
        <f t="shared" ca="1" si="1"/>
        <v>23156.899120526406</v>
      </c>
      <c r="I51" s="12">
        <f t="shared" ca="1" si="2"/>
        <v>6947.0697361579214</v>
      </c>
      <c r="J51" s="12">
        <f t="shared" ca="1" si="3"/>
        <v>30103.968856684329</v>
      </c>
      <c r="K51" s="12">
        <f t="shared" ca="1" si="4"/>
        <v>48062.685770289478</v>
      </c>
      <c r="L51" s="12">
        <f t="shared" ca="1" si="5"/>
        <v>1292046.9204661306</v>
      </c>
      <c r="N51">
        <v>50</v>
      </c>
      <c r="O51">
        <v>1485352.8539757289</v>
      </c>
    </row>
    <row r="52" spans="3:15" x14ac:dyDescent="0.45">
      <c r="C52" s="2"/>
      <c r="D52" s="2">
        <v>36</v>
      </c>
      <c r="E52" s="2">
        <f t="shared" si="6"/>
        <v>65</v>
      </c>
      <c r="F52" s="11">
        <f t="shared" ca="1" si="0"/>
        <v>3.1013874138249964E-2</v>
      </c>
      <c r="G52" s="12">
        <f t="shared" ref="G52:G54" ca="1" si="8">G51*(1+F52)</f>
        <v>238750.84275282564</v>
      </c>
      <c r="H52" s="12">
        <f t="shared" ca="1" si="1"/>
        <v>23875.084275282567</v>
      </c>
      <c r="I52" s="12">
        <f t="shared" ref="I52:I54" ca="1" si="9">G52*$D$6</f>
        <v>7162.5252825847692</v>
      </c>
      <c r="J52" s="12">
        <f t="shared" ref="J52:J54" ca="1" si="10">H52+I52</f>
        <v>31037.609557867334</v>
      </c>
      <c r="K52" s="12">
        <f t="shared" ref="K52:K54" ca="1" si="11">(J51*$J$11)+K51</f>
        <v>50558.304788508605</v>
      </c>
      <c r="L52" s="12">
        <f t="shared" ref="L52:L54" ca="1" si="12">J52+K52+L51</f>
        <v>1373642.8348125066</v>
      </c>
      <c r="N52">
        <v>51</v>
      </c>
      <c r="O52">
        <v>1608464.5157793302</v>
      </c>
    </row>
    <row r="53" spans="3:15" x14ac:dyDescent="0.45">
      <c r="D53" s="2">
        <v>37</v>
      </c>
      <c r="E53" s="2">
        <f t="shared" si="6"/>
        <v>66</v>
      </c>
      <c r="F53" s="11">
        <f t="shared" ca="1" si="0"/>
        <v>4.2085210313421412E-2</v>
      </c>
      <c r="G53" s="12">
        <f t="shared" ca="1" si="8"/>
        <v>248798.72218258493</v>
      </c>
      <c r="H53" s="12">
        <f t="shared" ca="1" si="1"/>
        <v>24879.872218258493</v>
      </c>
      <c r="I53" s="12">
        <f t="shared" ca="1" si="9"/>
        <v>7463.9616654775473</v>
      </c>
      <c r="J53" s="12">
        <f t="shared" ca="1" si="10"/>
        <v>32343.833883736042</v>
      </c>
      <c r="K53" s="12">
        <f t="shared" ca="1" si="11"/>
        <v>53131.322620855804</v>
      </c>
      <c r="L53" s="12">
        <f t="shared" ca="1" si="12"/>
        <v>1459117.9913170985</v>
      </c>
      <c r="N53">
        <v>52</v>
      </c>
      <c r="O53">
        <v>1501738.0005515963</v>
      </c>
    </row>
    <row r="54" spans="3:15" x14ac:dyDescent="0.45">
      <c r="D54" s="2">
        <v>38</v>
      </c>
      <c r="E54" s="2">
        <f t="shared" si="6"/>
        <v>67</v>
      </c>
      <c r="F54" s="11">
        <f t="shared" ca="1" si="0"/>
        <v>2.7832359545274684E-2</v>
      </c>
      <c r="G54" s="12">
        <f t="shared" ca="1" si="8"/>
        <v>255723.37767277556</v>
      </c>
      <c r="H54" s="12">
        <f t="shared" ca="1" si="1"/>
        <v>25572.337767277557</v>
      </c>
      <c r="I54" s="12">
        <f t="shared" ca="1" si="9"/>
        <v>7671.7013301832667</v>
      </c>
      <c r="J54" s="12">
        <f t="shared" ca="1" si="10"/>
        <v>33244.039097460824</v>
      </c>
      <c r="K54" s="12">
        <f t="shared" ca="1" si="11"/>
        <v>55812.626449817522</v>
      </c>
      <c r="L54" s="12">
        <f t="shared" ca="1" si="12"/>
        <v>1548174.6568643767</v>
      </c>
      <c r="N54">
        <v>53</v>
      </c>
      <c r="O54">
        <v>1577785.3631568577</v>
      </c>
    </row>
    <row r="55" spans="3:15" x14ac:dyDescent="0.45">
      <c r="D55" s="2"/>
      <c r="E55" s="2"/>
      <c r="F55" s="11"/>
      <c r="G55" s="12"/>
      <c r="H55" s="12"/>
      <c r="I55" s="12"/>
      <c r="J55" s="12"/>
      <c r="K55" s="12"/>
      <c r="L55" s="12"/>
      <c r="N55">
        <v>54</v>
      </c>
      <c r="O55">
        <v>1523075.7911890543</v>
      </c>
    </row>
    <row r="56" spans="3:15" x14ac:dyDescent="0.45">
      <c r="D56" s="2"/>
      <c r="E56" s="2"/>
      <c r="F56" s="11"/>
      <c r="G56" s="12"/>
      <c r="H56" s="12"/>
      <c r="I56" s="12"/>
      <c r="J56" s="12"/>
      <c r="K56" s="12"/>
      <c r="L56" s="12"/>
      <c r="N56">
        <v>55</v>
      </c>
      <c r="O56">
        <v>1489681.8857305702</v>
      </c>
    </row>
    <row r="57" spans="3:15" x14ac:dyDescent="0.45">
      <c r="D57" s="2"/>
      <c r="E57" s="2"/>
      <c r="F57" s="11"/>
      <c r="G57" s="12"/>
      <c r="H57" s="12"/>
      <c r="I57" s="12"/>
      <c r="J57" s="12"/>
      <c r="K57" s="12"/>
      <c r="L57" s="12"/>
      <c r="N57">
        <v>56</v>
      </c>
      <c r="O57">
        <v>1602203.6725955182</v>
      </c>
    </row>
    <row r="58" spans="3:15" x14ac:dyDescent="0.45">
      <c r="N58">
        <v>57</v>
      </c>
      <c r="O58">
        <v>1567259.3371741001</v>
      </c>
    </row>
    <row r="59" spans="3:15" x14ac:dyDescent="0.45">
      <c r="N59">
        <v>58</v>
      </c>
      <c r="O59">
        <v>1529051.8424291855</v>
      </c>
    </row>
    <row r="60" spans="3:15" x14ac:dyDescent="0.45">
      <c r="N60">
        <v>59</v>
      </c>
      <c r="O60">
        <v>1524295.222163599</v>
      </c>
    </row>
    <row r="61" spans="3:15" x14ac:dyDescent="0.45">
      <c r="N61">
        <v>60</v>
      </c>
      <c r="O61">
        <v>1549107.2244095567</v>
      </c>
    </row>
    <row r="62" spans="3:15" x14ac:dyDescent="0.45">
      <c r="N62">
        <v>61</v>
      </c>
      <c r="O62">
        <v>1561248.3930956451</v>
      </c>
    </row>
    <row r="63" spans="3:15" x14ac:dyDescent="0.45">
      <c r="N63">
        <v>62</v>
      </c>
      <c r="O63">
        <v>1555682.4207445204</v>
      </c>
    </row>
    <row r="64" spans="3:15" x14ac:dyDescent="0.45">
      <c r="N64">
        <v>63</v>
      </c>
      <c r="O64">
        <v>1500345.6566210352</v>
      </c>
    </row>
    <row r="65" spans="14:15" x14ac:dyDescent="0.45">
      <c r="N65">
        <v>64</v>
      </c>
      <c r="O65">
        <v>1555574.8261512925</v>
      </c>
    </row>
    <row r="66" spans="14:15" x14ac:dyDescent="0.45">
      <c r="N66">
        <v>65</v>
      </c>
      <c r="O66">
        <v>1526724.5086700211</v>
      </c>
    </row>
    <row r="67" spans="14:15" x14ac:dyDescent="0.45">
      <c r="N67">
        <v>66</v>
      </c>
      <c r="O67">
        <v>1517712.5054689799</v>
      </c>
    </row>
    <row r="68" spans="14:15" x14ac:dyDescent="0.45">
      <c r="N68">
        <v>67</v>
      </c>
      <c r="O68">
        <v>1501529.3419453127</v>
      </c>
    </row>
    <row r="69" spans="14:15" x14ac:dyDescent="0.45">
      <c r="N69">
        <v>68</v>
      </c>
      <c r="O69">
        <v>1588058.8354544793</v>
      </c>
    </row>
    <row r="70" spans="14:15" x14ac:dyDescent="0.45">
      <c r="N70">
        <v>69</v>
      </c>
      <c r="O70">
        <v>1474135.5490419727</v>
      </c>
    </row>
    <row r="71" spans="14:15" x14ac:dyDescent="0.45">
      <c r="N71">
        <v>70</v>
      </c>
      <c r="O71">
        <v>1522646.5538901847</v>
      </c>
    </row>
    <row r="72" spans="14:15" x14ac:dyDescent="0.45">
      <c r="N72">
        <v>71</v>
      </c>
      <c r="O72">
        <v>1510409.9971787028</v>
      </c>
    </row>
    <row r="73" spans="14:15" x14ac:dyDescent="0.45">
      <c r="N73">
        <v>72</v>
      </c>
      <c r="O73">
        <v>1593703.7069101825</v>
      </c>
    </row>
    <row r="74" spans="14:15" x14ac:dyDescent="0.45">
      <c r="N74">
        <v>73</v>
      </c>
      <c r="O74">
        <v>1544262.320930013</v>
      </c>
    </row>
    <row r="75" spans="14:15" x14ac:dyDescent="0.45">
      <c r="N75">
        <v>74</v>
      </c>
      <c r="O75">
        <v>1533102.1354213376</v>
      </c>
    </row>
    <row r="76" spans="14:15" x14ac:dyDescent="0.45">
      <c r="N76">
        <v>75</v>
      </c>
      <c r="O76">
        <v>1556823.5761910742</v>
      </c>
    </row>
    <row r="77" spans="14:15" x14ac:dyDescent="0.45">
      <c r="N77">
        <v>76</v>
      </c>
      <c r="O77">
        <v>1617608.7214339026</v>
      </c>
    </row>
    <row r="78" spans="14:15" x14ac:dyDescent="0.45">
      <c r="N78">
        <v>77</v>
      </c>
      <c r="O78">
        <v>1563700.2476660502</v>
      </c>
    </row>
    <row r="79" spans="14:15" x14ac:dyDescent="0.45">
      <c r="N79">
        <v>78</v>
      </c>
      <c r="O79">
        <v>1508929.7067133805</v>
      </c>
    </row>
    <row r="80" spans="14:15" x14ac:dyDescent="0.45">
      <c r="N80">
        <v>79</v>
      </c>
      <c r="O80">
        <v>1474679.3516800567</v>
      </c>
    </row>
    <row r="81" spans="14:15" x14ac:dyDescent="0.45">
      <c r="N81">
        <v>80</v>
      </c>
      <c r="O81">
        <v>1534365.2845118905</v>
      </c>
    </row>
    <row r="82" spans="14:15" x14ac:dyDescent="0.45">
      <c r="N82">
        <v>81</v>
      </c>
      <c r="O82">
        <v>1544402.3413086513</v>
      </c>
    </row>
    <row r="83" spans="14:15" x14ac:dyDescent="0.45">
      <c r="N83">
        <v>82</v>
      </c>
      <c r="O83">
        <v>1506355.5025859722</v>
      </c>
    </row>
    <row r="84" spans="14:15" x14ac:dyDescent="0.45">
      <c r="N84">
        <v>83</v>
      </c>
      <c r="O84">
        <v>1507002.1432146295</v>
      </c>
    </row>
    <row r="85" spans="14:15" x14ac:dyDescent="0.45">
      <c r="N85">
        <v>84</v>
      </c>
      <c r="O85">
        <v>1582070.2563368387</v>
      </c>
    </row>
    <row r="86" spans="14:15" x14ac:dyDescent="0.45">
      <c r="N86">
        <v>85</v>
      </c>
      <c r="O86">
        <v>1488789.3152597819</v>
      </c>
    </row>
    <row r="87" spans="14:15" x14ac:dyDescent="0.45">
      <c r="N87">
        <v>86</v>
      </c>
      <c r="O87">
        <v>1591246.0675720689</v>
      </c>
    </row>
    <row r="88" spans="14:15" x14ac:dyDescent="0.45">
      <c r="N88">
        <v>87</v>
      </c>
      <c r="O88">
        <v>1529438.7475737361</v>
      </c>
    </row>
    <row r="89" spans="14:15" x14ac:dyDescent="0.45">
      <c r="N89">
        <v>88</v>
      </c>
      <c r="O89">
        <v>1562633.1156428966</v>
      </c>
    </row>
    <row r="90" spans="14:15" x14ac:dyDescent="0.45">
      <c r="N90">
        <v>89</v>
      </c>
      <c r="O90">
        <v>1582822.9368940131</v>
      </c>
    </row>
    <row r="91" spans="14:15" x14ac:dyDescent="0.45">
      <c r="N91">
        <v>90</v>
      </c>
      <c r="O91">
        <v>1567832.2023651241</v>
      </c>
    </row>
    <row r="92" spans="14:15" x14ac:dyDescent="0.45">
      <c r="N92">
        <v>91</v>
      </c>
      <c r="O92">
        <v>1537364.5740986746</v>
      </c>
    </row>
    <row r="93" spans="14:15" x14ac:dyDescent="0.45">
      <c r="N93">
        <v>92</v>
      </c>
      <c r="O93">
        <v>1522557.1899885286</v>
      </c>
    </row>
    <row r="94" spans="14:15" x14ac:dyDescent="0.45">
      <c r="N94">
        <v>93</v>
      </c>
      <c r="O94">
        <v>1519463.2095273912</v>
      </c>
    </row>
    <row r="95" spans="14:15" x14ac:dyDescent="0.45">
      <c r="N95">
        <v>94</v>
      </c>
      <c r="O95">
        <v>1529094.3862728798</v>
      </c>
    </row>
    <row r="96" spans="14:15" x14ac:dyDescent="0.45">
      <c r="N96">
        <v>95</v>
      </c>
      <c r="O96">
        <v>1557252.7991161677</v>
      </c>
    </row>
    <row r="97" spans="14:15" x14ac:dyDescent="0.45">
      <c r="N97">
        <v>96</v>
      </c>
      <c r="O97">
        <v>1484022.6558912352</v>
      </c>
    </row>
    <row r="98" spans="14:15" x14ac:dyDescent="0.45">
      <c r="N98">
        <v>97</v>
      </c>
      <c r="O98">
        <v>1527573.1945590414</v>
      </c>
    </row>
    <row r="99" spans="14:15" x14ac:dyDescent="0.45">
      <c r="N99">
        <v>98</v>
      </c>
      <c r="O99">
        <v>1561512.5191685136</v>
      </c>
    </row>
    <row r="100" spans="14:15" x14ac:dyDescent="0.45">
      <c r="N100">
        <v>99</v>
      </c>
      <c r="O100">
        <v>1564081.5994628416</v>
      </c>
    </row>
    <row r="101" spans="14:15" x14ac:dyDescent="0.45">
      <c r="N101">
        <v>100</v>
      </c>
      <c r="O101">
        <v>1524676.3789269289</v>
      </c>
    </row>
    <row r="102" spans="14:15" x14ac:dyDescent="0.45">
      <c r="N102">
        <v>101</v>
      </c>
      <c r="O102">
        <v>1611982.7019199766</v>
      </c>
    </row>
    <row r="103" spans="14:15" x14ac:dyDescent="0.45">
      <c r="N103">
        <v>102</v>
      </c>
      <c r="O103">
        <v>1530256.4568507816</v>
      </c>
    </row>
    <row r="104" spans="14:15" x14ac:dyDescent="0.45">
      <c r="N104">
        <v>103</v>
      </c>
      <c r="O104">
        <v>1544900.8551753405</v>
      </c>
    </row>
    <row r="105" spans="14:15" x14ac:dyDescent="0.45">
      <c r="N105">
        <v>104</v>
      </c>
      <c r="O105">
        <v>1493703.5834133914</v>
      </c>
    </row>
    <row r="106" spans="14:15" x14ac:dyDescent="0.45">
      <c r="N106">
        <v>105</v>
      </c>
      <c r="O106">
        <v>1509067.4665570203</v>
      </c>
    </row>
    <row r="107" spans="14:15" x14ac:dyDescent="0.45">
      <c r="N107">
        <v>106</v>
      </c>
      <c r="O107">
        <v>1516714.9933501275</v>
      </c>
    </row>
    <row r="108" spans="14:15" x14ac:dyDescent="0.45">
      <c r="N108">
        <v>107</v>
      </c>
      <c r="O108">
        <v>1526169.7273009841</v>
      </c>
    </row>
    <row r="109" spans="14:15" x14ac:dyDescent="0.45">
      <c r="N109">
        <v>108</v>
      </c>
      <c r="O109">
        <v>1475252.0530870417</v>
      </c>
    </row>
    <row r="110" spans="14:15" x14ac:dyDescent="0.45">
      <c r="N110">
        <v>109</v>
      </c>
      <c r="O110">
        <v>1515064.6366463585</v>
      </c>
    </row>
    <row r="111" spans="14:15" x14ac:dyDescent="0.45">
      <c r="N111">
        <v>110</v>
      </c>
      <c r="O111">
        <v>1535918.828809283</v>
      </c>
    </row>
    <row r="112" spans="14:15" x14ac:dyDescent="0.45">
      <c r="N112">
        <v>111</v>
      </c>
      <c r="O112">
        <v>1484915.6358805278</v>
      </c>
    </row>
    <row r="113" spans="14:15" x14ac:dyDescent="0.45">
      <c r="N113">
        <v>112</v>
      </c>
      <c r="O113">
        <v>1501519.3353496366</v>
      </c>
    </row>
    <row r="114" spans="14:15" x14ac:dyDescent="0.45">
      <c r="N114">
        <v>113</v>
      </c>
      <c r="O114">
        <v>1548332.4708542856</v>
      </c>
    </row>
    <row r="115" spans="14:15" x14ac:dyDescent="0.45">
      <c r="N115">
        <v>114</v>
      </c>
      <c r="O115">
        <v>1550705.2040812296</v>
      </c>
    </row>
    <row r="116" spans="14:15" x14ac:dyDescent="0.45">
      <c r="N116">
        <v>115</v>
      </c>
      <c r="O116">
        <v>1590464.0283092922</v>
      </c>
    </row>
    <row r="117" spans="14:15" x14ac:dyDescent="0.45">
      <c r="N117">
        <v>116</v>
      </c>
      <c r="O117">
        <v>1568705.2897962078</v>
      </c>
    </row>
    <row r="118" spans="14:15" x14ac:dyDescent="0.45">
      <c r="N118">
        <v>117</v>
      </c>
      <c r="O118">
        <v>1569267.7002356688</v>
      </c>
    </row>
    <row r="119" spans="14:15" x14ac:dyDescent="0.45">
      <c r="N119">
        <v>118</v>
      </c>
      <c r="O119">
        <v>1539319.0411811296</v>
      </c>
    </row>
    <row r="120" spans="14:15" x14ac:dyDescent="0.45">
      <c r="N120">
        <v>119</v>
      </c>
      <c r="O120">
        <v>1500622.8622494885</v>
      </c>
    </row>
    <row r="121" spans="14:15" x14ac:dyDescent="0.45">
      <c r="N121">
        <v>120</v>
      </c>
      <c r="O121">
        <v>1530011.3948269321</v>
      </c>
    </row>
    <row r="122" spans="14:15" x14ac:dyDescent="0.45">
      <c r="N122">
        <v>121</v>
      </c>
      <c r="O122">
        <v>1533708.206680353</v>
      </c>
    </row>
    <row r="123" spans="14:15" x14ac:dyDescent="0.45">
      <c r="N123">
        <v>122</v>
      </c>
      <c r="O123">
        <v>1520420.2127678408</v>
      </c>
    </row>
    <row r="124" spans="14:15" x14ac:dyDescent="0.45">
      <c r="N124">
        <v>123</v>
      </c>
      <c r="O124">
        <v>1572053.3474013291</v>
      </c>
    </row>
    <row r="125" spans="14:15" x14ac:dyDescent="0.45">
      <c r="N125">
        <v>124</v>
      </c>
      <c r="O125">
        <v>1547374.7496225527</v>
      </c>
    </row>
    <row r="126" spans="14:15" x14ac:dyDescent="0.45">
      <c r="N126">
        <v>125</v>
      </c>
      <c r="O126">
        <v>1555879.2083253064</v>
      </c>
    </row>
    <row r="127" spans="14:15" x14ac:dyDescent="0.45">
      <c r="N127">
        <v>126</v>
      </c>
      <c r="O127">
        <v>1525913.3075914741</v>
      </c>
    </row>
    <row r="128" spans="14:15" x14ac:dyDescent="0.45">
      <c r="N128">
        <v>127</v>
      </c>
      <c r="O128">
        <v>1586617.4918318358</v>
      </c>
    </row>
    <row r="129" spans="14:15" x14ac:dyDescent="0.45">
      <c r="N129">
        <v>128</v>
      </c>
      <c r="O129">
        <v>1570523.5545654672</v>
      </c>
    </row>
    <row r="130" spans="14:15" x14ac:dyDescent="0.45">
      <c r="N130">
        <v>129</v>
      </c>
      <c r="O130">
        <v>1665963.1771881972</v>
      </c>
    </row>
    <row r="131" spans="14:15" x14ac:dyDescent="0.45">
      <c r="N131">
        <v>130</v>
      </c>
      <c r="O131">
        <v>1518589.7622052587</v>
      </c>
    </row>
    <row r="132" spans="14:15" x14ac:dyDescent="0.45">
      <c r="N132">
        <v>131</v>
      </c>
      <c r="O132">
        <v>1507158.9491929081</v>
      </c>
    </row>
    <row r="133" spans="14:15" x14ac:dyDescent="0.45">
      <c r="N133">
        <v>132</v>
      </c>
      <c r="O133">
        <v>1574372.5306932922</v>
      </c>
    </row>
    <row r="134" spans="14:15" x14ac:dyDescent="0.45">
      <c r="N134">
        <v>133</v>
      </c>
      <c r="O134">
        <v>1567530.6178737986</v>
      </c>
    </row>
    <row r="135" spans="14:15" x14ac:dyDescent="0.45">
      <c r="N135">
        <v>134</v>
      </c>
      <c r="O135">
        <v>1495599.9418163181</v>
      </c>
    </row>
    <row r="136" spans="14:15" x14ac:dyDescent="0.45">
      <c r="N136">
        <v>135</v>
      </c>
      <c r="O136">
        <v>1520090.8970146584</v>
      </c>
    </row>
    <row r="137" spans="14:15" x14ac:dyDescent="0.45">
      <c r="N137">
        <v>136</v>
      </c>
      <c r="O137">
        <v>1538067.7521279906</v>
      </c>
    </row>
    <row r="138" spans="14:15" x14ac:dyDescent="0.45">
      <c r="N138">
        <v>137</v>
      </c>
      <c r="O138">
        <v>1527045.9104649327</v>
      </c>
    </row>
    <row r="139" spans="14:15" x14ac:dyDescent="0.45">
      <c r="N139">
        <v>138</v>
      </c>
      <c r="O139">
        <v>1587650.3926701415</v>
      </c>
    </row>
    <row r="140" spans="14:15" x14ac:dyDescent="0.45">
      <c r="N140">
        <v>139</v>
      </c>
      <c r="O140">
        <v>1507659.3413594486</v>
      </c>
    </row>
    <row r="141" spans="14:15" x14ac:dyDescent="0.45">
      <c r="N141">
        <v>140</v>
      </c>
      <c r="O141">
        <v>1527077.6917315531</v>
      </c>
    </row>
    <row r="142" spans="14:15" x14ac:dyDescent="0.45">
      <c r="N142">
        <v>141</v>
      </c>
      <c r="O142">
        <v>1565536.6540261572</v>
      </c>
    </row>
    <row r="143" spans="14:15" x14ac:dyDescent="0.45">
      <c r="N143">
        <v>142</v>
      </c>
      <c r="O143">
        <v>1456504.0710963411</v>
      </c>
    </row>
    <row r="144" spans="14:15" x14ac:dyDescent="0.45">
      <c r="N144">
        <v>143</v>
      </c>
      <c r="O144">
        <v>1600826.4858373427</v>
      </c>
    </row>
    <row r="145" spans="14:15" x14ac:dyDescent="0.45">
      <c r="N145">
        <v>144</v>
      </c>
      <c r="O145">
        <v>1507171.5776327536</v>
      </c>
    </row>
    <row r="146" spans="14:15" x14ac:dyDescent="0.45">
      <c r="N146">
        <v>145</v>
      </c>
      <c r="O146">
        <v>1543433.9028135105</v>
      </c>
    </row>
    <row r="147" spans="14:15" x14ac:dyDescent="0.45">
      <c r="N147">
        <v>146</v>
      </c>
      <c r="O147">
        <v>1546310.7681720555</v>
      </c>
    </row>
    <row r="148" spans="14:15" x14ac:dyDescent="0.45">
      <c r="N148">
        <v>147</v>
      </c>
      <c r="O148">
        <v>1534753.5230909302</v>
      </c>
    </row>
    <row r="149" spans="14:15" x14ac:dyDescent="0.45">
      <c r="N149">
        <v>148</v>
      </c>
      <c r="O149">
        <v>1583351.1832337035</v>
      </c>
    </row>
    <row r="150" spans="14:15" x14ac:dyDescent="0.45">
      <c r="N150">
        <v>149</v>
      </c>
      <c r="O150">
        <v>1558044.8656684558</v>
      </c>
    </row>
    <row r="151" spans="14:15" x14ac:dyDescent="0.45">
      <c r="N151">
        <v>150</v>
      </c>
      <c r="O151">
        <v>1595573.8957314987</v>
      </c>
    </row>
    <row r="152" spans="14:15" x14ac:dyDescent="0.45">
      <c r="N152">
        <v>151</v>
      </c>
      <c r="O152">
        <v>1547969.5928958403</v>
      </c>
    </row>
    <row r="153" spans="14:15" x14ac:dyDescent="0.45">
      <c r="N153">
        <v>152</v>
      </c>
      <c r="O153">
        <v>1548330.2363419635</v>
      </c>
    </row>
    <row r="154" spans="14:15" x14ac:dyDescent="0.45">
      <c r="N154">
        <v>153</v>
      </c>
      <c r="O154">
        <v>1504374.6944513174</v>
      </c>
    </row>
    <row r="155" spans="14:15" x14ac:dyDescent="0.45">
      <c r="N155">
        <v>154</v>
      </c>
      <c r="O155">
        <v>1584656.3350234199</v>
      </c>
    </row>
    <row r="156" spans="14:15" x14ac:dyDescent="0.45">
      <c r="N156">
        <v>155</v>
      </c>
      <c r="O156">
        <v>1532626.6759069907</v>
      </c>
    </row>
    <row r="157" spans="14:15" x14ac:dyDescent="0.45">
      <c r="N157">
        <v>156</v>
      </c>
      <c r="O157">
        <v>1478057.6072262225</v>
      </c>
    </row>
    <row r="158" spans="14:15" x14ac:dyDescent="0.45">
      <c r="N158">
        <v>157</v>
      </c>
      <c r="O158">
        <v>1517395.7802319839</v>
      </c>
    </row>
    <row r="159" spans="14:15" x14ac:dyDescent="0.45">
      <c r="N159">
        <v>158</v>
      </c>
      <c r="O159">
        <v>1540291.200757199</v>
      </c>
    </row>
    <row r="160" spans="14:15" x14ac:dyDescent="0.45">
      <c r="N160">
        <v>159</v>
      </c>
      <c r="O160">
        <v>1528091.4281451358</v>
      </c>
    </row>
    <row r="161" spans="14:15" x14ac:dyDescent="0.45">
      <c r="N161">
        <v>160</v>
      </c>
      <c r="O161">
        <v>1478701.8445330039</v>
      </c>
    </row>
    <row r="162" spans="14:15" x14ac:dyDescent="0.45">
      <c r="N162">
        <v>161</v>
      </c>
      <c r="O162">
        <v>1574499.3008209339</v>
      </c>
    </row>
    <row r="163" spans="14:15" x14ac:dyDescent="0.45">
      <c r="N163">
        <v>162</v>
      </c>
      <c r="O163">
        <v>1544077.8197537106</v>
      </c>
    </row>
    <row r="164" spans="14:15" x14ac:dyDescent="0.45">
      <c r="N164">
        <v>163</v>
      </c>
      <c r="O164">
        <v>1556438.7474916982</v>
      </c>
    </row>
    <row r="165" spans="14:15" x14ac:dyDescent="0.45">
      <c r="N165">
        <v>164</v>
      </c>
      <c r="O165">
        <v>1538859.7004517331</v>
      </c>
    </row>
    <row r="166" spans="14:15" x14ac:dyDescent="0.45">
      <c r="N166">
        <v>165</v>
      </c>
      <c r="O166">
        <v>1553734.4585518991</v>
      </c>
    </row>
    <row r="167" spans="14:15" x14ac:dyDescent="0.45">
      <c r="N167">
        <v>166</v>
      </c>
      <c r="O167">
        <v>1525797.195355501</v>
      </c>
    </row>
    <row r="168" spans="14:15" x14ac:dyDescent="0.45">
      <c r="N168">
        <v>167</v>
      </c>
      <c r="O168">
        <v>1542410.2154646285</v>
      </c>
    </row>
    <row r="169" spans="14:15" x14ac:dyDescent="0.45">
      <c r="N169">
        <v>168</v>
      </c>
      <c r="O169">
        <v>1594828.2514112967</v>
      </c>
    </row>
    <row r="170" spans="14:15" x14ac:dyDescent="0.45">
      <c r="N170">
        <v>169</v>
      </c>
      <c r="O170">
        <v>1581953.0043702931</v>
      </c>
    </row>
    <row r="171" spans="14:15" x14ac:dyDescent="0.45">
      <c r="N171">
        <v>170</v>
      </c>
      <c r="O171">
        <v>1543664.836505603</v>
      </c>
    </row>
    <row r="172" spans="14:15" x14ac:dyDescent="0.45">
      <c r="N172">
        <v>171</v>
      </c>
      <c r="O172">
        <v>1549430.2489915208</v>
      </c>
    </row>
    <row r="173" spans="14:15" x14ac:dyDescent="0.45">
      <c r="N173">
        <v>172</v>
      </c>
      <c r="O173">
        <v>1591456.6005733882</v>
      </c>
    </row>
    <row r="174" spans="14:15" x14ac:dyDescent="0.45">
      <c r="N174">
        <v>173</v>
      </c>
      <c r="O174">
        <v>1588338.1793131758</v>
      </c>
    </row>
    <row r="175" spans="14:15" x14ac:dyDescent="0.45">
      <c r="N175">
        <v>174</v>
      </c>
      <c r="O175">
        <v>1513403.7876061259</v>
      </c>
    </row>
    <row r="176" spans="14:15" x14ac:dyDescent="0.45">
      <c r="N176">
        <v>175</v>
      </c>
      <c r="O176">
        <v>1593730.8877628786</v>
      </c>
    </row>
    <row r="177" spans="14:15" x14ac:dyDescent="0.45">
      <c r="N177">
        <v>176</v>
      </c>
      <c r="O177">
        <v>1546563.9328626399</v>
      </c>
    </row>
    <row r="178" spans="14:15" x14ac:dyDescent="0.45">
      <c r="N178">
        <v>177</v>
      </c>
      <c r="O178">
        <v>1561830.7026815489</v>
      </c>
    </row>
    <row r="179" spans="14:15" x14ac:dyDescent="0.45">
      <c r="N179">
        <v>178</v>
      </c>
      <c r="O179">
        <v>1547481.5424774738</v>
      </c>
    </row>
    <row r="180" spans="14:15" x14ac:dyDescent="0.45">
      <c r="N180">
        <v>179</v>
      </c>
      <c r="O180">
        <v>1565263.0661508683</v>
      </c>
    </row>
    <row r="181" spans="14:15" x14ac:dyDescent="0.45">
      <c r="N181">
        <v>180</v>
      </c>
      <c r="O181">
        <v>1488110.9041940011</v>
      </c>
    </row>
    <row r="182" spans="14:15" x14ac:dyDescent="0.45">
      <c r="N182">
        <v>181</v>
      </c>
      <c r="O182">
        <v>1617842.5683884746</v>
      </c>
    </row>
    <row r="183" spans="14:15" x14ac:dyDescent="0.45">
      <c r="N183">
        <v>182</v>
      </c>
      <c r="O183">
        <v>1639450.5367811073</v>
      </c>
    </row>
    <row r="184" spans="14:15" x14ac:dyDescent="0.45">
      <c r="N184">
        <v>183</v>
      </c>
      <c r="O184">
        <v>1559614.0170044543</v>
      </c>
    </row>
    <row r="185" spans="14:15" x14ac:dyDescent="0.45">
      <c r="N185">
        <v>184</v>
      </c>
      <c r="O185">
        <v>1545009.9958974083</v>
      </c>
    </row>
    <row r="186" spans="14:15" x14ac:dyDescent="0.45">
      <c r="N186">
        <v>185</v>
      </c>
      <c r="O186">
        <v>1548360.253010734</v>
      </c>
    </row>
    <row r="187" spans="14:15" x14ac:dyDescent="0.45">
      <c r="N187">
        <v>186</v>
      </c>
      <c r="O187">
        <v>1566719.8509665052</v>
      </c>
    </row>
    <row r="188" spans="14:15" x14ac:dyDescent="0.45">
      <c r="N188">
        <v>187</v>
      </c>
      <c r="O188">
        <v>1536844.5559740192</v>
      </c>
    </row>
    <row r="189" spans="14:15" x14ac:dyDescent="0.45">
      <c r="N189">
        <v>188</v>
      </c>
      <c r="O189">
        <v>1486449.1120949062</v>
      </c>
    </row>
    <row r="190" spans="14:15" x14ac:dyDescent="0.45">
      <c r="N190">
        <v>189</v>
      </c>
      <c r="O190">
        <v>1582157.2822942869</v>
      </c>
    </row>
    <row r="191" spans="14:15" x14ac:dyDescent="0.45">
      <c r="N191">
        <v>190</v>
      </c>
      <c r="O191">
        <v>1512140.4498583737</v>
      </c>
    </row>
    <row r="192" spans="14:15" x14ac:dyDescent="0.45">
      <c r="N192">
        <v>191</v>
      </c>
      <c r="O192">
        <v>1556309.8988132172</v>
      </c>
    </row>
    <row r="193" spans="14:15" x14ac:dyDescent="0.45">
      <c r="N193">
        <v>192</v>
      </c>
      <c r="O193">
        <v>1578109.2616380453</v>
      </c>
    </row>
    <row r="194" spans="14:15" x14ac:dyDescent="0.45">
      <c r="N194">
        <v>193</v>
      </c>
      <c r="O194">
        <v>1549683.3284749209</v>
      </c>
    </row>
    <row r="195" spans="14:15" x14ac:dyDescent="0.45">
      <c r="N195">
        <v>194</v>
      </c>
      <c r="O195">
        <v>1583897.9974298151</v>
      </c>
    </row>
    <row r="196" spans="14:15" x14ac:dyDescent="0.45">
      <c r="N196">
        <v>195</v>
      </c>
      <c r="O196">
        <v>1462127.9304205512</v>
      </c>
    </row>
    <row r="197" spans="14:15" x14ac:dyDescent="0.45">
      <c r="N197">
        <v>196</v>
      </c>
      <c r="O197">
        <v>1521940.5570527508</v>
      </c>
    </row>
    <row r="198" spans="14:15" x14ac:dyDescent="0.45">
      <c r="N198">
        <v>197</v>
      </c>
      <c r="O198">
        <v>1575904.6068312642</v>
      </c>
    </row>
    <row r="199" spans="14:15" x14ac:dyDescent="0.45">
      <c r="N199">
        <v>198</v>
      </c>
      <c r="O199">
        <v>1525626.2780423479</v>
      </c>
    </row>
    <row r="200" spans="14:15" x14ac:dyDescent="0.45">
      <c r="N200">
        <v>199</v>
      </c>
      <c r="O200">
        <v>1560084.2038725452</v>
      </c>
    </row>
    <row r="201" spans="14:15" x14ac:dyDescent="0.45">
      <c r="N201">
        <v>200</v>
      </c>
      <c r="O201">
        <v>1554609.5930253891</v>
      </c>
    </row>
    <row r="202" spans="14:15" x14ac:dyDescent="0.45">
      <c r="N202">
        <v>201</v>
      </c>
      <c r="O202">
        <v>1553750.7193900107</v>
      </c>
    </row>
    <row r="203" spans="14:15" x14ac:dyDescent="0.45">
      <c r="N203">
        <v>202</v>
      </c>
      <c r="O203">
        <v>1568194.6418653456</v>
      </c>
    </row>
    <row r="204" spans="14:15" x14ac:dyDescent="0.45">
      <c r="N204">
        <v>203</v>
      </c>
      <c r="O204">
        <v>1618955.3592890184</v>
      </c>
    </row>
    <row r="205" spans="14:15" x14ac:dyDescent="0.45">
      <c r="N205">
        <v>204</v>
      </c>
      <c r="O205">
        <v>1572243.9764555334</v>
      </c>
    </row>
    <row r="206" spans="14:15" x14ac:dyDescent="0.45">
      <c r="N206">
        <v>205</v>
      </c>
      <c r="O206">
        <v>1513874.885738357</v>
      </c>
    </row>
    <row r="207" spans="14:15" x14ac:dyDescent="0.45">
      <c r="N207">
        <v>206</v>
      </c>
      <c r="O207">
        <v>1544627.0447799214</v>
      </c>
    </row>
    <row r="208" spans="14:15" x14ac:dyDescent="0.45">
      <c r="N208">
        <v>207</v>
      </c>
      <c r="O208">
        <v>1610608.8319041021</v>
      </c>
    </row>
    <row r="209" spans="14:15" x14ac:dyDescent="0.45">
      <c r="N209">
        <v>208</v>
      </c>
      <c r="O209">
        <v>1528167.2367070378</v>
      </c>
    </row>
    <row r="210" spans="14:15" x14ac:dyDescent="0.45">
      <c r="N210">
        <v>209</v>
      </c>
      <c r="O210">
        <v>1608781.413746058</v>
      </c>
    </row>
    <row r="211" spans="14:15" x14ac:dyDescent="0.45">
      <c r="N211">
        <v>210</v>
      </c>
      <c r="O211">
        <v>1489834.8076640656</v>
      </c>
    </row>
    <row r="212" spans="14:15" x14ac:dyDescent="0.45">
      <c r="N212">
        <v>211</v>
      </c>
      <c r="O212">
        <v>1549507.677361174</v>
      </c>
    </row>
    <row r="213" spans="14:15" x14ac:dyDescent="0.45">
      <c r="N213">
        <v>212</v>
      </c>
      <c r="O213">
        <v>1517706.7604681263</v>
      </c>
    </row>
    <row r="214" spans="14:15" x14ac:dyDescent="0.45">
      <c r="N214">
        <v>213</v>
      </c>
      <c r="O214">
        <v>1525829.8108346891</v>
      </c>
    </row>
    <row r="215" spans="14:15" x14ac:dyDescent="0.45">
      <c r="N215">
        <v>214</v>
      </c>
      <c r="O215">
        <v>1499692.2759323404</v>
      </c>
    </row>
    <row r="216" spans="14:15" x14ac:dyDescent="0.45">
      <c r="N216">
        <v>215</v>
      </c>
      <c r="O216">
        <v>1481901.9710340612</v>
      </c>
    </row>
    <row r="217" spans="14:15" x14ac:dyDescent="0.45">
      <c r="N217">
        <v>216</v>
      </c>
      <c r="O217">
        <v>1580789.6638434303</v>
      </c>
    </row>
    <row r="218" spans="14:15" x14ac:dyDescent="0.45">
      <c r="N218">
        <v>217</v>
      </c>
      <c r="O218">
        <v>1525214.229224992</v>
      </c>
    </row>
    <row r="219" spans="14:15" x14ac:dyDescent="0.45">
      <c r="N219">
        <v>218</v>
      </c>
      <c r="O219">
        <v>1517317.7143838396</v>
      </c>
    </row>
    <row r="220" spans="14:15" x14ac:dyDescent="0.45">
      <c r="N220">
        <v>219</v>
      </c>
      <c r="O220">
        <v>1547046.2983629624</v>
      </c>
    </row>
    <row r="221" spans="14:15" x14ac:dyDescent="0.45">
      <c r="N221">
        <v>220</v>
      </c>
      <c r="O221">
        <v>1553057.4985353306</v>
      </c>
    </row>
    <row r="222" spans="14:15" x14ac:dyDescent="0.45">
      <c r="N222">
        <v>221</v>
      </c>
      <c r="O222">
        <v>1585349.7704203585</v>
      </c>
    </row>
    <row r="223" spans="14:15" x14ac:dyDescent="0.45">
      <c r="N223">
        <v>222</v>
      </c>
      <c r="O223">
        <v>1497347.1521563183</v>
      </c>
    </row>
    <row r="224" spans="14:15" x14ac:dyDescent="0.45">
      <c r="N224">
        <v>223</v>
      </c>
      <c r="O224">
        <v>1605210.2203846693</v>
      </c>
    </row>
    <row r="225" spans="14:15" x14ac:dyDescent="0.45">
      <c r="N225">
        <v>224</v>
      </c>
      <c r="O225">
        <v>1507175.0329138206</v>
      </c>
    </row>
    <row r="226" spans="14:15" x14ac:dyDescent="0.45">
      <c r="N226">
        <v>225</v>
      </c>
      <c r="O226">
        <v>1554483.657864732</v>
      </c>
    </row>
    <row r="227" spans="14:15" x14ac:dyDescent="0.45">
      <c r="N227">
        <v>226</v>
      </c>
      <c r="O227">
        <v>1529884.753181163</v>
      </c>
    </row>
    <row r="228" spans="14:15" x14ac:dyDescent="0.45">
      <c r="N228">
        <v>227</v>
      </c>
      <c r="O228">
        <v>1571826.3507262443</v>
      </c>
    </row>
    <row r="229" spans="14:15" x14ac:dyDescent="0.45">
      <c r="N229">
        <v>228</v>
      </c>
      <c r="O229">
        <v>1539599.753895029</v>
      </c>
    </row>
    <row r="230" spans="14:15" x14ac:dyDescent="0.45">
      <c r="N230">
        <v>229</v>
      </c>
      <c r="O230">
        <v>1491252.431509553</v>
      </c>
    </row>
    <row r="231" spans="14:15" x14ac:dyDescent="0.45">
      <c r="N231">
        <v>230</v>
      </c>
      <c r="O231">
        <v>1595760.3503047742</v>
      </c>
    </row>
    <row r="232" spans="14:15" x14ac:dyDescent="0.45">
      <c r="N232">
        <v>231</v>
      </c>
      <c r="O232">
        <v>1550114.6433186207</v>
      </c>
    </row>
    <row r="233" spans="14:15" x14ac:dyDescent="0.45">
      <c r="N233">
        <v>232</v>
      </c>
      <c r="O233">
        <v>1560946.3128077134</v>
      </c>
    </row>
    <row r="234" spans="14:15" x14ac:dyDescent="0.45">
      <c r="N234">
        <v>233</v>
      </c>
      <c r="O234">
        <v>1532406.2373714496</v>
      </c>
    </row>
    <row r="235" spans="14:15" x14ac:dyDescent="0.45">
      <c r="N235">
        <v>234</v>
      </c>
      <c r="O235">
        <v>1556826.3876953637</v>
      </c>
    </row>
    <row r="236" spans="14:15" x14ac:dyDescent="0.45">
      <c r="N236">
        <v>235</v>
      </c>
      <c r="O236">
        <v>1594359.873924159</v>
      </c>
    </row>
    <row r="237" spans="14:15" x14ac:dyDescent="0.45">
      <c r="N237">
        <v>236</v>
      </c>
      <c r="O237">
        <v>1543149.2128798487</v>
      </c>
    </row>
    <row r="238" spans="14:15" x14ac:dyDescent="0.45">
      <c r="N238">
        <v>237</v>
      </c>
      <c r="O238">
        <v>1509544.5597210175</v>
      </c>
    </row>
    <row r="239" spans="14:15" x14ac:dyDescent="0.45">
      <c r="N239">
        <v>238</v>
      </c>
      <c r="O239">
        <v>1551163.6185763231</v>
      </c>
    </row>
    <row r="240" spans="14:15" x14ac:dyDescent="0.45">
      <c r="N240">
        <v>239</v>
      </c>
      <c r="O240">
        <v>1545644.9602875288</v>
      </c>
    </row>
    <row r="241" spans="14:15" x14ac:dyDescent="0.45">
      <c r="N241">
        <v>240</v>
      </c>
      <c r="O241">
        <v>1607496.9285101607</v>
      </c>
    </row>
    <row r="242" spans="14:15" x14ac:dyDescent="0.45">
      <c r="N242">
        <v>241</v>
      </c>
      <c r="O242">
        <v>1570411.687806932</v>
      </c>
    </row>
    <row r="243" spans="14:15" x14ac:dyDescent="0.45">
      <c r="N243">
        <v>242</v>
      </c>
      <c r="O243">
        <v>1504831.0579898776</v>
      </c>
    </row>
    <row r="244" spans="14:15" x14ac:dyDescent="0.45">
      <c r="N244">
        <v>243</v>
      </c>
      <c r="O244">
        <v>1523983.0511205629</v>
      </c>
    </row>
    <row r="245" spans="14:15" x14ac:dyDescent="0.45">
      <c r="N245">
        <v>244</v>
      </c>
      <c r="O245">
        <v>1577591.0132265599</v>
      </c>
    </row>
    <row r="246" spans="14:15" x14ac:dyDescent="0.45">
      <c r="N246">
        <v>245</v>
      </c>
      <c r="O246">
        <v>1544300.3588143019</v>
      </c>
    </row>
    <row r="247" spans="14:15" x14ac:dyDescent="0.45">
      <c r="N247">
        <v>246</v>
      </c>
      <c r="O247">
        <v>1539499.3954702718</v>
      </c>
    </row>
    <row r="248" spans="14:15" x14ac:dyDescent="0.45">
      <c r="N248">
        <v>247</v>
      </c>
      <c r="O248">
        <v>1619997.476854058</v>
      </c>
    </row>
    <row r="249" spans="14:15" x14ac:dyDescent="0.45">
      <c r="N249">
        <v>248</v>
      </c>
      <c r="O249">
        <v>1569568.8096043149</v>
      </c>
    </row>
    <row r="250" spans="14:15" x14ac:dyDescent="0.45">
      <c r="N250">
        <v>249</v>
      </c>
      <c r="O250">
        <v>1645545.4917032637</v>
      </c>
    </row>
    <row r="251" spans="14:15" x14ac:dyDescent="0.45">
      <c r="N251">
        <v>250</v>
      </c>
      <c r="O251">
        <v>1502615.5855047086</v>
      </c>
    </row>
    <row r="252" spans="14:15" x14ac:dyDescent="0.45">
      <c r="N252">
        <v>251</v>
      </c>
      <c r="O252">
        <v>1534970.5318756218</v>
      </c>
    </row>
    <row r="253" spans="14:15" x14ac:dyDescent="0.45">
      <c r="N253">
        <v>252</v>
      </c>
      <c r="O253">
        <v>1502603.156261828</v>
      </c>
    </row>
    <row r="254" spans="14:15" x14ac:dyDescent="0.45">
      <c r="N254">
        <v>253</v>
      </c>
      <c r="O254">
        <v>1524063.1609180407</v>
      </c>
    </row>
    <row r="255" spans="14:15" x14ac:dyDescent="0.45">
      <c r="N255">
        <v>254</v>
      </c>
      <c r="O255">
        <v>1464216.824960497</v>
      </c>
    </row>
    <row r="256" spans="14:15" x14ac:dyDescent="0.45">
      <c r="N256">
        <v>255</v>
      </c>
      <c r="O256">
        <v>1473262.8368640102</v>
      </c>
    </row>
    <row r="257" spans="14:15" x14ac:dyDescent="0.45">
      <c r="N257">
        <v>256</v>
      </c>
      <c r="O257">
        <v>1552013.2029244956</v>
      </c>
    </row>
    <row r="258" spans="14:15" x14ac:dyDescent="0.45">
      <c r="N258">
        <v>257</v>
      </c>
      <c r="O258">
        <v>1575623.2813195833</v>
      </c>
    </row>
    <row r="259" spans="14:15" x14ac:dyDescent="0.45">
      <c r="N259">
        <v>258</v>
      </c>
      <c r="O259">
        <v>1523975.2537878007</v>
      </c>
    </row>
    <row r="260" spans="14:15" x14ac:dyDescent="0.45">
      <c r="N260">
        <v>259</v>
      </c>
      <c r="O260">
        <v>1539498.2094014094</v>
      </c>
    </row>
    <row r="261" spans="14:15" x14ac:dyDescent="0.45">
      <c r="N261">
        <v>260</v>
      </c>
      <c r="O261">
        <v>1507572.6444547605</v>
      </c>
    </row>
    <row r="262" spans="14:15" x14ac:dyDescent="0.45">
      <c r="N262">
        <v>261</v>
      </c>
      <c r="O262">
        <v>1542887.8909495885</v>
      </c>
    </row>
    <row r="263" spans="14:15" x14ac:dyDescent="0.45">
      <c r="N263">
        <v>262</v>
      </c>
      <c r="O263">
        <v>1518994.1858864813</v>
      </c>
    </row>
    <row r="264" spans="14:15" x14ac:dyDescent="0.45">
      <c r="N264">
        <v>263</v>
      </c>
      <c r="O264">
        <v>1540397.0281173736</v>
      </c>
    </row>
    <row r="265" spans="14:15" x14ac:dyDescent="0.45">
      <c r="N265">
        <v>264</v>
      </c>
      <c r="O265">
        <v>1568264.9060485126</v>
      </c>
    </row>
    <row r="266" spans="14:15" x14ac:dyDescent="0.45">
      <c r="N266">
        <v>265</v>
      </c>
      <c r="O266">
        <v>1512121.8527151658</v>
      </c>
    </row>
    <row r="267" spans="14:15" x14ac:dyDescent="0.45">
      <c r="N267">
        <v>266</v>
      </c>
      <c r="O267">
        <v>1562560.28840675</v>
      </c>
    </row>
    <row r="268" spans="14:15" x14ac:dyDescent="0.45">
      <c r="N268">
        <v>267</v>
      </c>
      <c r="O268">
        <v>1569655.3363151001</v>
      </c>
    </row>
    <row r="269" spans="14:15" x14ac:dyDescent="0.45">
      <c r="N269">
        <v>268</v>
      </c>
      <c r="O269">
        <v>1584048.1133028714</v>
      </c>
    </row>
    <row r="270" spans="14:15" x14ac:dyDescent="0.45">
      <c r="N270">
        <v>269</v>
      </c>
      <c r="O270">
        <v>1540765.3355628068</v>
      </c>
    </row>
    <row r="271" spans="14:15" x14ac:dyDescent="0.45">
      <c r="N271">
        <v>270</v>
      </c>
      <c r="O271">
        <v>1523464.8371831574</v>
      </c>
    </row>
    <row r="272" spans="14:15" x14ac:dyDescent="0.45">
      <c r="N272">
        <v>271</v>
      </c>
      <c r="O272">
        <v>1543439.5133667733</v>
      </c>
    </row>
    <row r="273" spans="14:15" x14ac:dyDescent="0.45">
      <c r="N273">
        <v>272</v>
      </c>
      <c r="O273">
        <v>1494403.1376865744</v>
      </c>
    </row>
    <row r="274" spans="14:15" x14ac:dyDescent="0.45">
      <c r="N274">
        <v>273</v>
      </c>
      <c r="O274">
        <v>1543056.9924618101</v>
      </c>
    </row>
    <row r="275" spans="14:15" x14ac:dyDescent="0.45">
      <c r="N275">
        <v>274</v>
      </c>
      <c r="O275">
        <v>1470080.221045814</v>
      </c>
    </row>
    <row r="276" spans="14:15" x14ac:dyDescent="0.45">
      <c r="N276">
        <v>275</v>
      </c>
      <c r="O276">
        <v>1541493.3161813281</v>
      </c>
    </row>
    <row r="277" spans="14:15" x14ac:dyDescent="0.45">
      <c r="N277">
        <v>276</v>
      </c>
      <c r="O277">
        <v>1500211.2098365105</v>
      </c>
    </row>
    <row r="278" spans="14:15" x14ac:dyDescent="0.45">
      <c r="N278">
        <v>277</v>
      </c>
      <c r="O278">
        <v>1485431.1478881501</v>
      </c>
    </row>
    <row r="279" spans="14:15" x14ac:dyDescent="0.45">
      <c r="N279">
        <v>278</v>
      </c>
      <c r="O279">
        <v>1541234.7565304707</v>
      </c>
    </row>
    <row r="280" spans="14:15" x14ac:dyDescent="0.45">
      <c r="N280">
        <v>279</v>
      </c>
      <c r="O280">
        <v>1524211.6561359598</v>
      </c>
    </row>
    <row r="281" spans="14:15" x14ac:dyDescent="0.45">
      <c r="N281">
        <v>280</v>
      </c>
      <c r="O281">
        <v>1556544.1654034567</v>
      </c>
    </row>
    <row r="282" spans="14:15" x14ac:dyDescent="0.45">
      <c r="N282">
        <v>281</v>
      </c>
      <c r="O282">
        <v>1545912.3500035366</v>
      </c>
    </row>
    <row r="283" spans="14:15" x14ac:dyDescent="0.45">
      <c r="N283">
        <v>282</v>
      </c>
      <c r="O283">
        <v>1609215.9620471338</v>
      </c>
    </row>
    <row r="284" spans="14:15" x14ac:dyDescent="0.45">
      <c r="N284">
        <v>283</v>
      </c>
      <c r="O284">
        <v>1551211.2210878662</v>
      </c>
    </row>
    <row r="285" spans="14:15" x14ac:dyDescent="0.45">
      <c r="N285">
        <v>284</v>
      </c>
      <c r="O285">
        <v>1548391.6171205067</v>
      </c>
    </row>
    <row r="286" spans="14:15" x14ac:dyDescent="0.45">
      <c r="N286">
        <v>285</v>
      </c>
      <c r="O286">
        <v>1569277.404947523</v>
      </c>
    </row>
    <row r="287" spans="14:15" x14ac:dyDescent="0.45">
      <c r="N287">
        <v>286</v>
      </c>
      <c r="O287">
        <v>1525146.395029325</v>
      </c>
    </row>
    <row r="288" spans="14:15" x14ac:dyDescent="0.45">
      <c r="N288">
        <v>287</v>
      </c>
      <c r="O288">
        <v>1537718.6279420534</v>
      </c>
    </row>
    <row r="289" spans="14:15" x14ac:dyDescent="0.45">
      <c r="N289">
        <v>288</v>
      </c>
      <c r="O289">
        <v>1500865.9374992289</v>
      </c>
    </row>
    <row r="290" spans="14:15" x14ac:dyDescent="0.45">
      <c r="N290">
        <v>289</v>
      </c>
      <c r="O290">
        <v>1515548.2564107399</v>
      </c>
    </row>
    <row r="291" spans="14:15" x14ac:dyDescent="0.45">
      <c r="N291">
        <v>290</v>
      </c>
      <c r="O291">
        <v>1508071.9854300185</v>
      </c>
    </row>
    <row r="292" spans="14:15" x14ac:dyDescent="0.45">
      <c r="N292">
        <v>291</v>
      </c>
      <c r="O292">
        <v>1475466.8225681374</v>
      </c>
    </row>
    <row r="293" spans="14:15" x14ac:dyDescent="0.45">
      <c r="N293">
        <v>292</v>
      </c>
      <c r="O293">
        <v>1528784.2251672097</v>
      </c>
    </row>
    <row r="294" spans="14:15" x14ac:dyDescent="0.45">
      <c r="N294">
        <v>293</v>
      </c>
      <c r="O294">
        <v>1586327.8558170798</v>
      </c>
    </row>
    <row r="295" spans="14:15" x14ac:dyDescent="0.45">
      <c r="N295">
        <v>294</v>
      </c>
      <c r="O295">
        <v>1509974.1706338269</v>
      </c>
    </row>
    <row r="296" spans="14:15" x14ac:dyDescent="0.45">
      <c r="N296">
        <v>295</v>
      </c>
      <c r="O296">
        <v>1523580.3665469184</v>
      </c>
    </row>
    <row r="297" spans="14:15" x14ac:dyDescent="0.45">
      <c r="N297">
        <v>296</v>
      </c>
      <c r="O297">
        <v>1553149.0723208976</v>
      </c>
    </row>
    <row r="298" spans="14:15" x14ac:dyDescent="0.45">
      <c r="N298">
        <v>297</v>
      </c>
      <c r="O298">
        <v>1590477.6666053268</v>
      </c>
    </row>
    <row r="299" spans="14:15" x14ac:dyDescent="0.45">
      <c r="N299">
        <v>298</v>
      </c>
      <c r="O299">
        <v>1493322.3026740924</v>
      </c>
    </row>
    <row r="300" spans="14:15" x14ac:dyDescent="0.45">
      <c r="N300">
        <v>299</v>
      </c>
      <c r="O300">
        <v>1626677.8489535442</v>
      </c>
    </row>
    <row r="301" spans="14:15" x14ac:dyDescent="0.45">
      <c r="N301">
        <v>300</v>
      </c>
      <c r="O301">
        <v>1556602.6546753789</v>
      </c>
    </row>
    <row r="302" spans="14:15" x14ac:dyDescent="0.45">
      <c r="N302">
        <v>301</v>
      </c>
      <c r="O302">
        <v>1465983.4334166299</v>
      </c>
    </row>
    <row r="303" spans="14:15" x14ac:dyDescent="0.45">
      <c r="N303">
        <v>302</v>
      </c>
      <c r="O303">
        <v>1533079.9466514303</v>
      </c>
    </row>
    <row r="304" spans="14:15" x14ac:dyDescent="0.45">
      <c r="N304">
        <v>303</v>
      </c>
      <c r="O304">
        <v>1557231.6550049863</v>
      </c>
    </row>
    <row r="305" spans="14:15" x14ac:dyDescent="0.45">
      <c r="N305">
        <v>304</v>
      </c>
      <c r="O305">
        <v>1636699.5906605138</v>
      </c>
    </row>
    <row r="306" spans="14:15" x14ac:dyDescent="0.45">
      <c r="N306">
        <v>305</v>
      </c>
      <c r="O306">
        <v>1542756.0036274707</v>
      </c>
    </row>
    <row r="307" spans="14:15" x14ac:dyDescent="0.45">
      <c r="N307">
        <v>306</v>
      </c>
      <c r="O307">
        <v>1530079.5863244145</v>
      </c>
    </row>
    <row r="308" spans="14:15" x14ac:dyDescent="0.45">
      <c r="N308">
        <v>307</v>
      </c>
      <c r="O308">
        <v>1572578.1700881401</v>
      </c>
    </row>
    <row r="309" spans="14:15" x14ac:dyDescent="0.45">
      <c r="N309">
        <v>308</v>
      </c>
      <c r="O309">
        <v>1543582.0556776938</v>
      </c>
    </row>
    <row r="310" spans="14:15" x14ac:dyDescent="0.45">
      <c r="N310">
        <v>309</v>
      </c>
      <c r="O310">
        <v>1581662.4679538775</v>
      </c>
    </row>
    <row r="311" spans="14:15" x14ac:dyDescent="0.45">
      <c r="N311">
        <v>310</v>
      </c>
      <c r="O311">
        <v>1525317.0812001389</v>
      </c>
    </row>
    <row r="312" spans="14:15" x14ac:dyDescent="0.45">
      <c r="N312">
        <v>311</v>
      </c>
      <c r="O312">
        <v>1639730.1785933501</v>
      </c>
    </row>
    <row r="313" spans="14:15" x14ac:dyDescent="0.45">
      <c r="N313">
        <v>312</v>
      </c>
      <c r="O313">
        <v>1538083.5258232735</v>
      </c>
    </row>
    <row r="314" spans="14:15" x14ac:dyDescent="0.45">
      <c r="N314">
        <v>313</v>
      </c>
      <c r="O314">
        <v>1522687.0271565495</v>
      </c>
    </row>
    <row r="315" spans="14:15" x14ac:dyDescent="0.45">
      <c r="N315">
        <v>314</v>
      </c>
      <c r="O315">
        <v>1568879.9984356496</v>
      </c>
    </row>
    <row r="316" spans="14:15" x14ac:dyDescent="0.45">
      <c r="N316">
        <v>315</v>
      </c>
      <c r="O316">
        <v>1604464.726561687</v>
      </c>
    </row>
    <row r="317" spans="14:15" x14ac:dyDescent="0.45">
      <c r="N317">
        <v>316</v>
      </c>
      <c r="O317">
        <v>1522040.3191905592</v>
      </c>
    </row>
    <row r="318" spans="14:15" x14ac:dyDescent="0.45">
      <c r="N318">
        <v>317</v>
      </c>
      <c r="O318">
        <v>1555266.3755807607</v>
      </c>
    </row>
    <row r="319" spans="14:15" x14ac:dyDescent="0.45">
      <c r="N319">
        <v>318</v>
      </c>
      <c r="O319">
        <v>1508014.769804385</v>
      </c>
    </row>
    <row r="320" spans="14:15" x14ac:dyDescent="0.45">
      <c r="N320">
        <v>319</v>
      </c>
      <c r="O320">
        <v>1531648.2968901566</v>
      </c>
    </row>
    <row r="321" spans="14:15" x14ac:dyDescent="0.45">
      <c r="N321">
        <v>320</v>
      </c>
      <c r="O321">
        <v>1539788.0310940517</v>
      </c>
    </row>
    <row r="322" spans="14:15" x14ac:dyDescent="0.45">
      <c r="N322">
        <v>321</v>
      </c>
      <c r="O322">
        <v>1621177.6344029859</v>
      </c>
    </row>
    <row r="323" spans="14:15" x14ac:dyDescent="0.45">
      <c r="N323">
        <v>322</v>
      </c>
      <c r="O323">
        <v>1596055.1351415508</v>
      </c>
    </row>
    <row r="324" spans="14:15" x14ac:dyDescent="0.45">
      <c r="N324">
        <v>323</v>
      </c>
      <c r="O324">
        <v>1556586.0576609038</v>
      </c>
    </row>
    <row r="325" spans="14:15" x14ac:dyDescent="0.45">
      <c r="N325">
        <v>324</v>
      </c>
      <c r="O325">
        <v>1552911.2758912651</v>
      </c>
    </row>
    <row r="326" spans="14:15" x14ac:dyDescent="0.45">
      <c r="N326">
        <v>325</v>
      </c>
      <c r="O326">
        <v>1567232.2241591078</v>
      </c>
    </row>
    <row r="327" spans="14:15" x14ac:dyDescent="0.45">
      <c r="N327">
        <v>326</v>
      </c>
      <c r="O327">
        <v>1490460.2390124523</v>
      </c>
    </row>
    <row r="328" spans="14:15" x14ac:dyDescent="0.45">
      <c r="N328">
        <v>327</v>
      </c>
      <c r="O328">
        <v>1545167.498757333</v>
      </c>
    </row>
    <row r="329" spans="14:15" x14ac:dyDescent="0.45">
      <c r="N329">
        <v>328</v>
      </c>
      <c r="O329">
        <v>1557541.9153129517</v>
      </c>
    </row>
    <row r="330" spans="14:15" x14ac:dyDescent="0.45">
      <c r="N330">
        <v>329</v>
      </c>
      <c r="O330">
        <v>1561697.1916166588</v>
      </c>
    </row>
    <row r="331" spans="14:15" x14ac:dyDescent="0.45">
      <c r="N331">
        <v>330</v>
      </c>
      <c r="O331">
        <v>1586600.6631904407</v>
      </c>
    </row>
    <row r="332" spans="14:15" x14ac:dyDescent="0.45">
      <c r="N332">
        <v>331</v>
      </c>
      <c r="O332">
        <v>1603119.3141247858</v>
      </c>
    </row>
    <row r="333" spans="14:15" x14ac:dyDescent="0.45">
      <c r="N333">
        <v>332</v>
      </c>
      <c r="O333">
        <v>1525534.4405530032</v>
      </c>
    </row>
    <row r="334" spans="14:15" x14ac:dyDescent="0.45">
      <c r="N334">
        <v>333</v>
      </c>
      <c r="O334">
        <v>1583717.3275504357</v>
      </c>
    </row>
    <row r="335" spans="14:15" x14ac:dyDescent="0.45">
      <c r="N335">
        <v>334</v>
      </c>
      <c r="O335">
        <v>1501541.7335271502</v>
      </c>
    </row>
    <row r="336" spans="14:15" x14ac:dyDescent="0.45">
      <c r="N336">
        <v>335</v>
      </c>
      <c r="O336">
        <v>1538684.7715576547</v>
      </c>
    </row>
    <row r="337" spans="14:15" x14ac:dyDescent="0.45">
      <c r="N337">
        <v>336</v>
      </c>
      <c r="O337">
        <v>1533324.7459980273</v>
      </c>
    </row>
    <row r="338" spans="14:15" x14ac:dyDescent="0.45">
      <c r="N338">
        <v>337</v>
      </c>
      <c r="O338">
        <v>1558592.4101584179</v>
      </c>
    </row>
    <row r="339" spans="14:15" x14ac:dyDescent="0.45">
      <c r="N339">
        <v>338</v>
      </c>
      <c r="O339">
        <v>1537318.9946997582</v>
      </c>
    </row>
    <row r="340" spans="14:15" x14ac:dyDescent="0.45">
      <c r="N340">
        <v>339</v>
      </c>
      <c r="O340">
        <v>1539355.2450495791</v>
      </c>
    </row>
    <row r="341" spans="14:15" x14ac:dyDescent="0.45">
      <c r="N341">
        <v>340</v>
      </c>
      <c r="O341">
        <v>1623336.4782329467</v>
      </c>
    </row>
    <row r="342" spans="14:15" x14ac:dyDescent="0.45">
      <c r="N342">
        <v>341</v>
      </c>
      <c r="O342">
        <v>1506137.0503258884</v>
      </c>
    </row>
    <row r="343" spans="14:15" x14ac:dyDescent="0.45">
      <c r="N343">
        <v>342</v>
      </c>
      <c r="O343">
        <v>1504599.1147753964</v>
      </c>
    </row>
    <row r="344" spans="14:15" x14ac:dyDescent="0.45">
      <c r="N344">
        <v>343</v>
      </c>
      <c r="O344">
        <v>1537999.2956149578</v>
      </c>
    </row>
    <row r="345" spans="14:15" x14ac:dyDescent="0.45">
      <c r="N345">
        <v>344</v>
      </c>
      <c r="O345">
        <v>1531285.3716422324</v>
      </c>
    </row>
    <row r="346" spans="14:15" x14ac:dyDescent="0.45">
      <c r="N346">
        <v>345</v>
      </c>
      <c r="O346">
        <v>1609774.9471996359</v>
      </c>
    </row>
    <row r="347" spans="14:15" x14ac:dyDescent="0.45">
      <c r="N347">
        <v>346</v>
      </c>
      <c r="O347">
        <v>1497393.4088100826</v>
      </c>
    </row>
    <row r="348" spans="14:15" x14ac:dyDescent="0.45">
      <c r="N348">
        <v>347</v>
      </c>
      <c r="O348">
        <v>1541561.9464547238</v>
      </c>
    </row>
    <row r="349" spans="14:15" x14ac:dyDescent="0.45">
      <c r="N349">
        <v>348</v>
      </c>
      <c r="O349">
        <v>1514098.5342826543</v>
      </c>
    </row>
    <row r="350" spans="14:15" x14ac:dyDescent="0.45">
      <c r="N350">
        <v>349</v>
      </c>
      <c r="O350">
        <v>1471108.8165659313</v>
      </c>
    </row>
    <row r="351" spans="14:15" x14ac:dyDescent="0.45">
      <c r="N351">
        <v>350</v>
      </c>
      <c r="O351">
        <v>1479140.0353567598</v>
      </c>
    </row>
    <row r="352" spans="14:15" x14ac:dyDescent="0.45">
      <c r="N352">
        <v>351</v>
      </c>
      <c r="O352">
        <v>1526217.4868838023</v>
      </c>
    </row>
    <row r="353" spans="14:15" x14ac:dyDescent="0.45">
      <c r="N353">
        <v>352</v>
      </c>
      <c r="O353">
        <v>1557007.0011227953</v>
      </c>
    </row>
    <row r="354" spans="14:15" x14ac:dyDescent="0.45">
      <c r="N354">
        <v>353</v>
      </c>
      <c r="O354">
        <v>1552906.8924949139</v>
      </c>
    </row>
    <row r="355" spans="14:15" x14ac:dyDescent="0.45">
      <c r="N355">
        <v>354</v>
      </c>
      <c r="O355">
        <v>1535361.5350044754</v>
      </c>
    </row>
    <row r="356" spans="14:15" x14ac:dyDescent="0.45">
      <c r="N356">
        <v>355</v>
      </c>
      <c r="O356">
        <v>1539093.1888724088</v>
      </c>
    </row>
    <row r="357" spans="14:15" x14ac:dyDescent="0.45">
      <c r="N357">
        <v>356</v>
      </c>
      <c r="O357">
        <v>1524913.8914643002</v>
      </c>
    </row>
    <row r="358" spans="14:15" x14ac:dyDescent="0.45">
      <c r="N358">
        <v>357</v>
      </c>
      <c r="O358">
        <v>1553663.1569576522</v>
      </c>
    </row>
    <row r="359" spans="14:15" x14ac:dyDescent="0.45">
      <c r="N359">
        <v>358</v>
      </c>
      <c r="O359">
        <v>1517977.0015777699</v>
      </c>
    </row>
    <row r="360" spans="14:15" x14ac:dyDescent="0.45">
      <c r="N360">
        <v>359</v>
      </c>
      <c r="O360">
        <v>1564718.8530378686</v>
      </c>
    </row>
    <row r="361" spans="14:15" x14ac:dyDescent="0.45">
      <c r="N361">
        <v>360</v>
      </c>
      <c r="O361">
        <v>1494563.8409398228</v>
      </c>
    </row>
    <row r="362" spans="14:15" x14ac:dyDescent="0.45">
      <c r="N362">
        <v>361</v>
      </c>
      <c r="O362">
        <v>1534262.9827529779</v>
      </c>
    </row>
    <row r="363" spans="14:15" x14ac:dyDescent="0.45">
      <c r="N363">
        <v>362</v>
      </c>
      <c r="O363">
        <v>1495639.4080362187</v>
      </c>
    </row>
    <row r="364" spans="14:15" x14ac:dyDescent="0.45">
      <c r="N364">
        <v>363</v>
      </c>
      <c r="O364">
        <v>1553975.8573988832</v>
      </c>
    </row>
    <row r="365" spans="14:15" x14ac:dyDescent="0.45">
      <c r="N365">
        <v>364</v>
      </c>
      <c r="O365">
        <v>1560463.4449145135</v>
      </c>
    </row>
    <row r="366" spans="14:15" x14ac:dyDescent="0.45">
      <c r="N366">
        <v>365</v>
      </c>
      <c r="O366">
        <v>1556235.206283442</v>
      </c>
    </row>
    <row r="367" spans="14:15" x14ac:dyDescent="0.45">
      <c r="N367">
        <v>366</v>
      </c>
      <c r="O367">
        <v>1532205.8046191782</v>
      </c>
    </row>
    <row r="368" spans="14:15" x14ac:dyDescent="0.45">
      <c r="N368">
        <v>367</v>
      </c>
      <c r="O368">
        <v>1506742.8387693327</v>
      </c>
    </row>
    <row r="369" spans="14:15" x14ac:dyDescent="0.45">
      <c r="N369">
        <v>368</v>
      </c>
      <c r="O369">
        <v>1504900.5604310313</v>
      </c>
    </row>
    <row r="370" spans="14:15" x14ac:dyDescent="0.45">
      <c r="N370">
        <v>369</v>
      </c>
      <c r="O370">
        <v>1573315.69088723</v>
      </c>
    </row>
    <row r="371" spans="14:15" x14ac:dyDescent="0.45">
      <c r="N371">
        <v>370</v>
      </c>
      <c r="O371">
        <v>1488931.7864480542</v>
      </c>
    </row>
    <row r="372" spans="14:15" x14ac:dyDescent="0.45">
      <c r="N372">
        <v>371</v>
      </c>
      <c r="O372">
        <v>1604965.3585901593</v>
      </c>
    </row>
    <row r="373" spans="14:15" x14ac:dyDescent="0.45">
      <c r="N373">
        <v>372</v>
      </c>
      <c r="O373">
        <v>1533503.4628203281</v>
      </c>
    </row>
    <row r="374" spans="14:15" x14ac:dyDescent="0.45">
      <c r="N374">
        <v>373</v>
      </c>
      <c r="O374">
        <v>1589348.0575319054</v>
      </c>
    </row>
    <row r="375" spans="14:15" x14ac:dyDescent="0.45">
      <c r="N375">
        <v>374</v>
      </c>
      <c r="O375">
        <v>1542459.6179964668</v>
      </c>
    </row>
    <row r="376" spans="14:15" x14ac:dyDescent="0.45">
      <c r="N376">
        <v>375</v>
      </c>
      <c r="O376">
        <v>1569630.9631365088</v>
      </c>
    </row>
    <row r="377" spans="14:15" x14ac:dyDescent="0.45">
      <c r="N377">
        <v>376</v>
      </c>
      <c r="O377">
        <v>1516366.5422172206</v>
      </c>
    </row>
    <row r="378" spans="14:15" x14ac:dyDescent="0.45">
      <c r="N378">
        <v>377</v>
      </c>
      <c r="O378">
        <v>1554573.9320979496</v>
      </c>
    </row>
    <row r="379" spans="14:15" x14ac:dyDescent="0.45">
      <c r="N379">
        <v>378</v>
      </c>
      <c r="O379">
        <v>1556690.1673825933</v>
      </c>
    </row>
    <row r="380" spans="14:15" x14ac:dyDescent="0.45">
      <c r="N380">
        <v>379</v>
      </c>
      <c r="O380">
        <v>1562213.4032932604</v>
      </c>
    </row>
    <row r="381" spans="14:15" x14ac:dyDescent="0.45">
      <c r="N381">
        <v>380</v>
      </c>
      <c r="O381">
        <v>1557028.1082923291</v>
      </c>
    </row>
    <row r="382" spans="14:15" x14ac:dyDescent="0.45">
      <c r="N382">
        <v>381</v>
      </c>
      <c r="O382">
        <v>1535205.584410497</v>
      </c>
    </row>
    <row r="383" spans="14:15" x14ac:dyDescent="0.45">
      <c r="N383">
        <v>382</v>
      </c>
      <c r="O383">
        <v>1494285.8718434363</v>
      </c>
    </row>
    <row r="384" spans="14:15" x14ac:dyDescent="0.45">
      <c r="N384">
        <v>383</v>
      </c>
      <c r="O384">
        <v>1529261.9650341098</v>
      </c>
    </row>
    <row r="385" spans="14:15" x14ac:dyDescent="0.45">
      <c r="N385">
        <v>384</v>
      </c>
      <c r="O385">
        <v>1557558.572820781</v>
      </c>
    </row>
    <row r="386" spans="14:15" x14ac:dyDescent="0.45">
      <c r="N386">
        <v>385</v>
      </c>
      <c r="O386">
        <v>1538936.5282259416</v>
      </c>
    </row>
    <row r="387" spans="14:15" x14ac:dyDescent="0.45">
      <c r="N387">
        <v>386</v>
      </c>
      <c r="O387">
        <v>1576750.0084615361</v>
      </c>
    </row>
    <row r="388" spans="14:15" x14ac:dyDescent="0.45">
      <c r="N388">
        <v>387</v>
      </c>
      <c r="O388">
        <v>1568070.8936694085</v>
      </c>
    </row>
    <row r="389" spans="14:15" x14ac:dyDescent="0.45">
      <c r="N389">
        <v>388</v>
      </c>
      <c r="O389">
        <v>1576129.5168075219</v>
      </c>
    </row>
    <row r="390" spans="14:15" x14ac:dyDescent="0.45">
      <c r="N390">
        <v>389</v>
      </c>
      <c r="O390">
        <v>1557034.2182584736</v>
      </c>
    </row>
    <row r="391" spans="14:15" x14ac:dyDescent="0.45">
      <c r="N391">
        <v>390</v>
      </c>
      <c r="O391">
        <v>1552968.2473645878</v>
      </c>
    </row>
    <row r="392" spans="14:15" x14ac:dyDescent="0.45">
      <c r="N392">
        <v>391</v>
      </c>
      <c r="O392">
        <v>1647962.5884875385</v>
      </c>
    </row>
    <row r="393" spans="14:15" x14ac:dyDescent="0.45">
      <c r="N393">
        <v>392</v>
      </c>
      <c r="O393">
        <v>1529357.0733538223</v>
      </c>
    </row>
    <row r="394" spans="14:15" x14ac:dyDescent="0.45">
      <c r="N394">
        <v>393</v>
      </c>
      <c r="O394">
        <v>1518826.3114810628</v>
      </c>
    </row>
    <row r="395" spans="14:15" x14ac:dyDescent="0.45">
      <c r="N395">
        <v>394</v>
      </c>
      <c r="O395">
        <v>1474988.6726571592</v>
      </c>
    </row>
    <row r="396" spans="14:15" x14ac:dyDescent="0.45">
      <c r="N396">
        <v>395</v>
      </c>
      <c r="O396">
        <v>1536183.9372222477</v>
      </c>
    </row>
    <row r="397" spans="14:15" x14ac:dyDescent="0.45">
      <c r="N397">
        <v>396</v>
      </c>
      <c r="O397">
        <v>1527305.1111490298</v>
      </c>
    </row>
    <row r="398" spans="14:15" x14ac:dyDescent="0.45">
      <c r="N398">
        <v>397</v>
      </c>
      <c r="O398">
        <v>1532814.7013699852</v>
      </c>
    </row>
    <row r="399" spans="14:15" x14ac:dyDescent="0.45">
      <c r="N399">
        <v>398</v>
      </c>
      <c r="O399">
        <v>1516229.3253681292</v>
      </c>
    </row>
    <row r="400" spans="14:15" x14ac:dyDescent="0.45">
      <c r="N400">
        <v>399</v>
      </c>
      <c r="O400">
        <v>1572621.5202340612</v>
      </c>
    </row>
    <row r="401" spans="14:15" x14ac:dyDescent="0.45">
      <c r="N401">
        <v>400</v>
      </c>
      <c r="O401">
        <v>1457782.5307598349</v>
      </c>
    </row>
    <row r="402" spans="14:15" x14ac:dyDescent="0.45">
      <c r="N402">
        <v>401</v>
      </c>
      <c r="O402">
        <v>1594919.5687989667</v>
      </c>
    </row>
    <row r="403" spans="14:15" x14ac:dyDescent="0.45">
      <c r="N403">
        <v>402</v>
      </c>
      <c r="O403">
        <v>1605208.8752905095</v>
      </c>
    </row>
    <row r="404" spans="14:15" x14ac:dyDescent="0.45">
      <c r="N404">
        <v>403</v>
      </c>
      <c r="O404">
        <v>1504420.8051235464</v>
      </c>
    </row>
    <row r="405" spans="14:15" x14ac:dyDescent="0.45">
      <c r="N405">
        <v>404</v>
      </c>
      <c r="O405">
        <v>1534680.1488389773</v>
      </c>
    </row>
    <row r="406" spans="14:15" x14ac:dyDescent="0.45">
      <c r="N406">
        <v>405</v>
      </c>
      <c r="O406">
        <v>1583043.1639718188</v>
      </c>
    </row>
    <row r="407" spans="14:15" x14ac:dyDescent="0.45">
      <c r="N407">
        <v>406</v>
      </c>
      <c r="O407">
        <v>1474051.136140937</v>
      </c>
    </row>
    <row r="408" spans="14:15" x14ac:dyDescent="0.45">
      <c r="N408">
        <v>407</v>
      </c>
      <c r="O408">
        <v>1607049.5743895075</v>
      </c>
    </row>
    <row r="409" spans="14:15" x14ac:dyDescent="0.45">
      <c r="N409">
        <v>408</v>
      </c>
      <c r="O409">
        <v>1581094.0208077123</v>
      </c>
    </row>
    <row r="410" spans="14:15" x14ac:dyDescent="0.45">
      <c r="N410">
        <v>409</v>
      </c>
      <c r="O410">
        <v>1542192.5768919154</v>
      </c>
    </row>
    <row r="411" spans="14:15" x14ac:dyDescent="0.45">
      <c r="N411">
        <v>410</v>
      </c>
      <c r="O411">
        <v>1568738.054245709</v>
      </c>
    </row>
    <row r="412" spans="14:15" x14ac:dyDescent="0.45">
      <c r="N412">
        <v>411</v>
      </c>
      <c r="O412">
        <v>1548790.8913762309</v>
      </c>
    </row>
    <row r="413" spans="14:15" x14ac:dyDescent="0.45">
      <c r="N413">
        <v>412</v>
      </c>
      <c r="O413">
        <v>1541762.6520494209</v>
      </c>
    </row>
    <row r="414" spans="14:15" x14ac:dyDescent="0.45">
      <c r="N414">
        <v>413</v>
      </c>
      <c r="O414">
        <v>1528768.3871390817</v>
      </c>
    </row>
    <row r="415" spans="14:15" x14ac:dyDescent="0.45">
      <c r="N415">
        <v>414</v>
      </c>
      <c r="O415">
        <v>1565505.7199669154</v>
      </c>
    </row>
    <row r="416" spans="14:15" x14ac:dyDescent="0.45">
      <c r="N416">
        <v>415</v>
      </c>
      <c r="O416">
        <v>1533415.3488067437</v>
      </c>
    </row>
    <row r="417" spans="14:15" x14ac:dyDescent="0.45">
      <c r="N417">
        <v>416</v>
      </c>
      <c r="O417">
        <v>1544769.4122468794</v>
      </c>
    </row>
    <row r="418" spans="14:15" x14ac:dyDescent="0.45">
      <c r="N418">
        <v>417</v>
      </c>
      <c r="O418">
        <v>1517834.8708862902</v>
      </c>
    </row>
    <row r="419" spans="14:15" x14ac:dyDescent="0.45">
      <c r="N419">
        <v>418</v>
      </c>
      <c r="O419">
        <v>1530106.7914837205</v>
      </c>
    </row>
    <row r="420" spans="14:15" x14ac:dyDescent="0.45">
      <c r="N420">
        <v>419</v>
      </c>
      <c r="O420">
        <v>1516735.7871457895</v>
      </c>
    </row>
    <row r="421" spans="14:15" x14ac:dyDescent="0.45">
      <c r="N421">
        <v>420</v>
      </c>
      <c r="O421">
        <v>1527038.0821418162</v>
      </c>
    </row>
    <row r="422" spans="14:15" x14ac:dyDescent="0.45">
      <c r="N422">
        <v>421</v>
      </c>
      <c r="O422">
        <v>1616437.7385749745</v>
      </c>
    </row>
    <row r="423" spans="14:15" x14ac:dyDescent="0.45">
      <c r="N423">
        <v>422</v>
      </c>
      <c r="O423">
        <v>1512483.1040626182</v>
      </c>
    </row>
    <row r="424" spans="14:15" x14ac:dyDescent="0.45">
      <c r="N424">
        <v>423</v>
      </c>
      <c r="O424">
        <v>1599329.4491698148</v>
      </c>
    </row>
    <row r="425" spans="14:15" x14ac:dyDescent="0.45">
      <c r="N425">
        <v>424</v>
      </c>
      <c r="O425">
        <v>1543086.3568714035</v>
      </c>
    </row>
    <row r="426" spans="14:15" x14ac:dyDescent="0.45">
      <c r="N426">
        <v>425</v>
      </c>
      <c r="O426">
        <v>1578843.0683047287</v>
      </c>
    </row>
    <row r="427" spans="14:15" x14ac:dyDescent="0.45">
      <c r="N427">
        <v>426</v>
      </c>
      <c r="O427">
        <v>1554208.5498361085</v>
      </c>
    </row>
    <row r="428" spans="14:15" x14ac:dyDescent="0.45">
      <c r="N428">
        <v>427</v>
      </c>
      <c r="O428">
        <v>1535235.498056774</v>
      </c>
    </row>
    <row r="429" spans="14:15" x14ac:dyDescent="0.45">
      <c r="N429">
        <v>428</v>
      </c>
      <c r="O429">
        <v>1522789.9769993243</v>
      </c>
    </row>
    <row r="430" spans="14:15" x14ac:dyDescent="0.45">
      <c r="N430">
        <v>429</v>
      </c>
      <c r="O430">
        <v>1539315.403107855</v>
      </c>
    </row>
    <row r="431" spans="14:15" x14ac:dyDescent="0.45">
      <c r="N431">
        <v>430</v>
      </c>
      <c r="O431">
        <v>1490305.8068824508</v>
      </c>
    </row>
    <row r="432" spans="14:15" x14ac:dyDescent="0.45">
      <c r="N432">
        <v>431</v>
      </c>
      <c r="O432">
        <v>1499534.6629403904</v>
      </c>
    </row>
    <row r="433" spans="14:15" x14ac:dyDescent="0.45">
      <c r="N433">
        <v>432</v>
      </c>
      <c r="O433">
        <v>1568650.4040815078</v>
      </c>
    </row>
    <row r="434" spans="14:15" x14ac:dyDescent="0.45">
      <c r="N434">
        <v>433</v>
      </c>
      <c r="O434">
        <v>1517036.2808483331</v>
      </c>
    </row>
    <row r="435" spans="14:15" x14ac:dyDescent="0.45">
      <c r="N435">
        <v>434</v>
      </c>
      <c r="O435">
        <v>1552694.2117431401</v>
      </c>
    </row>
    <row r="436" spans="14:15" x14ac:dyDescent="0.45">
      <c r="N436">
        <v>435</v>
      </c>
      <c r="O436">
        <v>1514415.2754780138</v>
      </c>
    </row>
    <row r="437" spans="14:15" x14ac:dyDescent="0.45">
      <c r="N437">
        <v>436</v>
      </c>
      <c r="O437">
        <v>1466944.7393951868</v>
      </c>
    </row>
    <row r="438" spans="14:15" x14ac:dyDescent="0.45">
      <c r="N438">
        <v>437</v>
      </c>
      <c r="O438">
        <v>1590537.4270707665</v>
      </c>
    </row>
    <row r="439" spans="14:15" x14ac:dyDescent="0.45">
      <c r="N439">
        <v>438</v>
      </c>
      <c r="O439">
        <v>1540076.9316035234</v>
      </c>
    </row>
    <row r="440" spans="14:15" x14ac:dyDescent="0.45">
      <c r="N440">
        <v>439</v>
      </c>
      <c r="O440">
        <v>1528012.3747817536</v>
      </c>
    </row>
    <row r="441" spans="14:15" x14ac:dyDescent="0.45">
      <c r="N441">
        <v>440</v>
      </c>
      <c r="O441">
        <v>1567123.8920086119</v>
      </c>
    </row>
    <row r="442" spans="14:15" x14ac:dyDescent="0.45">
      <c r="N442">
        <v>441</v>
      </c>
      <c r="O442">
        <v>1587141.9421279035</v>
      </c>
    </row>
    <row r="443" spans="14:15" x14ac:dyDescent="0.45">
      <c r="N443">
        <v>442</v>
      </c>
      <c r="O443">
        <v>1519764.6517417934</v>
      </c>
    </row>
    <row r="444" spans="14:15" x14ac:dyDescent="0.45">
      <c r="N444">
        <v>443</v>
      </c>
      <c r="O444">
        <v>1541582.9190633537</v>
      </c>
    </row>
    <row r="445" spans="14:15" x14ac:dyDescent="0.45">
      <c r="N445">
        <v>444</v>
      </c>
      <c r="O445">
        <v>1571663.8926578704</v>
      </c>
    </row>
    <row r="446" spans="14:15" x14ac:dyDescent="0.45">
      <c r="N446">
        <v>445</v>
      </c>
      <c r="O446">
        <v>1532462.217435407</v>
      </c>
    </row>
    <row r="447" spans="14:15" x14ac:dyDescent="0.45">
      <c r="N447">
        <v>446</v>
      </c>
      <c r="O447">
        <v>1542970.723283394</v>
      </c>
    </row>
    <row r="448" spans="14:15" x14ac:dyDescent="0.45">
      <c r="N448">
        <v>447</v>
      </c>
      <c r="O448">
        <v>1587892.5442337554</v>
      </c>
    </row>
    <row r="449" spans="14:15" x14ac:dyDescent="0.45">
      <c r="N449">
        <v>448</v>
      </c>
      <c r="O449">
        <v>1508704.040697806</v>
      </c>
    </row>
    <row r="450" spans="14:15" x14ac:dyDescent="0.45">
      <c r="N450">
        <v>449</v>
      </c>
      <c r="O450">
        <v>1642412.7670527759</v>
      </c>
    </row>
    <row r="451" spans="14:15" x14ac:dyDescent="0.45">
      <c r="N451">
        <v>450</v>
      </c>
      <c r="O451">
        <v>1508333.8211640902</v>
      </c>
    </row>
    <row r="452" spans="14:15" x14ac:dyDescent="0.45">
      <c r="N452">
        <v>451</v>
      </c>
      <c r="O452">
        <v>1490636.1273463501</v>
      </c>
    </row>
    <row r="453" spans="14:15" x14ac:dyDescent="0.45">
      <c r="N453">
        <v>452</v>
      </c>
      <c r="O453">
        <v>1535956.4315190522</v>
      </c>
    </row>
    <row r="454" spans="14:15" x14ac:dyDescent="0.45">
      <c r="N454">
        <v>453</v>
      </c>
      <c r="O454">
        <v>1569370.4344951394</v>
      </c>
    </row>
    <row r="455" spans="14:15" x14ac:dyDescent="0.45">
      <c r="N455">
        <v>454</v>
      </c>
      <c r="O455">
        <v>1500630.5018853354</v>
      </c>
    </row>
    <row r="456" spans="14:15" x14ac:dyDescent="0.45">
      <c r="N456">
        <v>455</v>
      </c>
      <c r="O456">
        <v>1506924.5316593328</v>
      </c>
    </row>
    <row r="457" spans="14:15" x14ac:dyDescent="0.45">
      <c r="N457">
        <v>456</v>
      </c>
      <c r="O457">
        <v>1533915.0630757392</v>
      </c>
    </row>
    <row r="458" spans="14:15" x14ac:dyDescent="0.45">
      <c r="N458">
        <v>457</v>
      </c>
      <c r="O458">
        <v>1588155.2107293066</v>
      </c>
    </row>
    <row r="459" spans="14:15" x14ac:dyDescent="0.45">
      <c r="N459">
        <v>458</v>
      </c>
      <c r="O459">
        <v>1543482.383844398</v>
      </c>
    </row>
    <row r="460" spans="14:15" x14ac:dyDescent="0.45">
      <c r="N460">
        <v>459</v>
      </c>
      <c r="O460">
        <v>1516673.7535234026</v>
      </c>
    </row>
    <row r="461" spans="14:15" x14ac:dyDescent="0.45">
      <c r="N461">
        <v>460</v>
      </c>
      <c r="O461">
        <v>1531559.3322852335</v>
      </c>
    </row>
    <row r="462" spans="14:15" x14ac:dyDescent="0.45">
      <c r="N462">
        <v>461</v>
      </c>
      <c r="O462">
        <v>1587979.4927204931</v>
      </c>
    </row>
    <row r="463" spans="14:15" x14ac:dyDescent="0.45">
      <c r="N463">
        <v>462</v>
      </c>
      <c r="O463">
        <v>1545406.8734407597</v>
      </c>
    </row>
    <row r="464" spans="14:15" x14ac:dyDescent="0.45">
      <c r="N464">
        <v>463</v>
      </c>
      <c r="O464">
        <v>1538966.5783196692</v>
      </c>
    </row>
    <row r="465" spans="14:15" x14ac:dyDescent="0.45">
      <c r="N465">
        <v>464</v>
      </c>
      <c r="O465">
        <v>1500897.2059348391</v>
      </c>
    </row>
    <row r="466" spans="14:15" x14ac:dyDescent="0.45">
      <c r="N466">
        <v>465</v>
      </c>
      <c r="O466">
        <v>1561011.1757900401</v>
      </c>
    </row>
    <row r="467" spans="14:15" x14ac:dyDescent="0.45">
      <c r="N467">
        <v>466</v>
      </c>
      <c r="O467">
        <v>1488234.3286986537</v>
      </c>
    </row>
    <row r="468" spans="14:15" x14ac:dyDescent="0.45">
      <c r="N468">
        <v>467</v>
      </c>
      <c r="O468">
        <v>1555970.9591972302</v>
      </c>
    </row>
    <row r="469" spans="14:15" x14ac:dyDescent="0.45">
      <c r="N469">
        <v>468</v>
      </c>
      <c r="O469">
        <v>1541145.9894841893</v>
      </c>
    </row>
    <row r="470" spans="14:15" x14ac:dyDescent="0.45">
      <c r="N470">
        <v>469</v>
      </c>
      <c r="O470">
        <v>1514763.8567549745</v>
      </c>
    </row>
    <row r="471" spans="14:15" x14ac:dyDescent="0.45">
      <c r="N471">
        <v>470</v>
      </c>
      <c r="O471">
        <v>1583003.8981577959</v>
      </c>
    </row>
    <row r="472" spans="14:15" x14ac:dyDescent="0.45">
      <c r="N472">
        <v>471</v>
      </c>
      <c r="O472">
        <v>1567839.5270878833</v>
      </c>
    </row>
    <row r="473" spans="14:15" x14ac:dyDescent="0.45">
      <c r="N473">
        <v>472</v>
      </c>
      <c r="O473">
        <v>1511775.5801473437</v>
      </c>
    </row>
    <row r="474" spans="14:15" x14ac:dyDescent="0.45">
      <c r="N474">
        <v>473</v>
      </c>
      <c r="O474">
        <v>1558566.8917553634</v>
      </c>
    </row>
    <row r="475" spans="14:15" x14ac:dyDescent="0.45">
      <c r="N475">
        <v>474</v>
      </c>
      <c r="O475">
        <v>1562435.0691551226</v>
      </c>
    </row>
    <row r="476" spans="14:15" x14ac:dyDescent="0.45">
      <c r="N476">
        <v>475</v>
      </c>
      <c r="O476">
        <v>1521479.5957870323</v>
      </c>
    </row>
    <row r="477" spans="14:15" x14ac:dyDescent="0.45">
      <c r="N477">
        <v>476</v>
      </c>
      <c r="O477">
        <v>1575043.8565323111</v>
      </c>
    </row>
    <row r="478" spans="14:15" x14ac:dyDescent="0.45">
      <c r="N478">
        <v>477</v>
      </c>
      <c r="O478">
        <v>1529019.5762419654</v>
      </c>
    </row>
    <row r="479" spans="14:15" x14ac:dyDescent="0.45">
      <c r="N479">
        <v>478</v>
      </c>
      <c r="O479">
        <v>1535172.7117205539</v>
      </c>
    </row>
    <row r="480" spans="14:15" x14ac:dyDescent="0.45">
      <c r="N480">
        <v>479</v>
      </c>
      <c r="O480">
        <v>1512226.9786689482</v>
      </c>
    </row>
    <row r="481" spans="14:15" x14ac:dyDescent="0.45">
      <c r="N481">
        <v>480</v>
      </c>
      <c r="O481">
        <v>1547049.8296560934</v>
      </c>
    </row>
    <row r="482" spans="14:15" x14ac:dyDescent="0.45">
      <c r="N482">
        <v>481</v>
      </c>
      <c r="O482">
        <v>1525017.5122475112</v>
      </c>
    </row>
    <row r="483" spans="14:15" x14ac:dyDescent="0.45">
      <c r="N483">
        <v>482</v>
      </c>
      <c r="O483">
        <v>1581414.8958906415</v>
      </c>
    </row>
    <row r="484" spans="14:15" x14ac:dyDescent="0.45">
      <c r="N484">
        <v>483</v>
      </c>
      <c r="O484">
        <v>1538565.1732045223</v>
      </c>
    </row>
    <row r="485" spans="14:15" x14ac:dyDescent="0.45">
      <c r="N485">
        <v>484</v>
      </c>
      <c r="O485">
        <v>1561516.6213481</v>
      </c>
    </row>
    <row r="486" spans="14:15" x14ac:dyDescent="0.45">
      <c r="N486">
        <v>485</v>
      </c>
      <c r="O486">
        <v>1487331.2760596173</v>
      </c>
    </row>
    <row r="487" spans="14:15" x14ac:dyDescent="0.45">
      <c r="N487">
        <v>486</v>
      </c>
      <c r="O487">
        <v>1496031.6636268422</v>
      </c>
    </row>
    <row r="488" spans="14:15" x14ac:dyDescent="0.45">
      <c r="N488">
        <v>487</v>
      </c>
      <c r="O488">
        <v>1451205.5045536822</v>
      </c>
    </row>
    <row r="489" spans="14:15" x14ac:dyDescent="0.45">
      <c r="N489">
        <v>488</v>
      </c>
      <c r="O489">
        <v>1548855.9246903937</v>
      </c>
    </row>
    <row r="490" spans="14:15" x14ac:dyDescent="0.45">
      <c r="N490">
        <v>489</v>
      </c>
      <c r="O490">
        <v>1608685.0332129397</v>
      </c>
    </row>
    <row r="491" spans="14:15" x14ac:dyDescent="0.45">
      <c r="N491">
        <v>490</v>
      </c>
      <c r="O491">
        <v>1535778.0989112831</v>
      </c>
    </row>
    <row r="492" spans="14:15" x14ac:dyDescent="0.45">
      <c r="N492">
        <v>491</v>
      </c>
      <c r="O492">
        <v>1573656.3088375493</v>
      </c>
    </row>
    <row r="493" spans="14:15" x14ac:dyDescent="0.45">
      <c r="N493">
        <v>492</v>
      </c>
      <c r="O493">
        <v>1496774.9878778332</v>
      </c>
    </row>
    <row r="494" spans="14:15" x14ac:dyDescent="0.45">
      <c r="N494">
        <v>493</v>
      </c>
      <c r="O494">
        <v>1531695.0269642584</v>
      </c>
    </row>
    <row r="495" spans="14:15" x14ac:dyDescent="0.45">
      <c r="N495">
        <v>494</v>
      </c>
      <c r="O495">
        <v>1509328.2102398048</v>
      </c>
    </row>
    <row r="496" spans="14:15" x14ac:dyDescent="0.45">
      <c r="N496">
        <v>495</v>
      </c>
      <c r="O496">
        <v>1584602.7725351125</v>
      </c>
    </row>
    <row r="497" spans="14:15" x14ac:dyDescent="0.45">
      <c r="N497">
        <v>496</v>
      </c>
      <c r="O497">
        <v>1511327.4121753215</v>
      </c>
    </row>
    <row r="498" spans="14:15" x14ac:dyDescent="0.45">
      <c r="N498">
        <v>497</v>
      </c>
      <c r="O498">
        <v>1598883.4484888206</v>
      </c>
    </row>
    <row r="499" spans="14:15" x14ac:dyDescent="0.45">
      <c r="N499">
        <v>498</v>
      </c>
      <c r="O499">
        <v>1522504.9549328773</v>
      </c>
    </row>
    <row r="500" spans="14:15" x14ac:dyDescent="0.45">
      <c r="N500">
        <v>499</v>
      </c>
      <c r="O500">
        <v>1552787.039909435</v>
      </c>
    </row>
    <row r="501" spans="14:15" x14ac:dyDescent="0.45">
      <c r="N501">
        <v>500</v>
      </c>
      <c r="O501">
        <v>1597551.4171949886</v>
      </c>
    </row>
    <row r="502" spans="14:15" x14ac:dyDescent="0.45">
      <c r="N502">
        <v>501</v>
      </c>
      <c r="O502">
        <v>1615125.8665871932</v>
      </c>
    </row>
    <row r="503" spans="14:15" x14ac:dyDescent="0.45">
      <c r="N503">
        <v>502</v>
      </c>
      <c r="O503">
        <v>1559856.3439460171</v>
      </c>
    </row>
    <row r="504" spans="14:15" x14ac:dyDescent="0.45">
      <c r="N504">
        <v>503</v>
      </c>
      <c r="O504">
        <v>1501311.4218901342</v>
      </c>
    </row>
    <row r="505" spans="14:15" x14ac:dyDescent="0.45">
      <c r="N505">
        <v>504</v>
      </c>
      <c r="O505">
        <v>1482215.2859669551</v>
      </c>
    </row>
    <row r="506" spans="14:15" x14ac:dyDescent="0.45">
      <c r="N506">
        <v>505</v>
      </c>
      <c r="O506">
        <v>1542746.1642287648</v>
      </c>
    </row>
    <row r="507" spans="14:15" x14ac:dyDescent="0.45">
      <c r="N507">
        <v>506</v>
      </c>
      <c r="O507">
        <v>1488554.0107302025</v>
      </c>
    </row>
    <row r="508" spans="14:15" x14ac:dyDescent="0.45">
      <c r="N508">
        <v>507</v>
      </c>
      <c r="O508">
        <v>1522687.3493240562</v>
      </c>
    </row>
    <row r="509" spans="14:15" x14ac:dyDescent="0.45">
      <c r="N509">
        <v>508</v>
      </c>
      <c r="O509">
        <v>1547166.121100476</v>
      </c>
    </row>
    <row r="510" spans="14:15" x14ac:dyDescent="0.45">
      <c r="N510">
        <v>509</v>
      </c>
      <c r="O510">
        <v>1573379.9086968517</v>
      </c>
    </row>
    <row r="511" spans="14:15" x14ac:dyDescent="0.45">
      <c r="N511">
        <v>510</v>
      </c>
      <c r="O511">
        <v>1487091.5284845307</v>
      </c>
    </row>
    <row r="512" spans="14:15" x14ac:dyDescent="0.45">
      <c r="N512">
        <v>511</v>
      </c>
      <c r="O512">
        <v>1518873.1913565497</v>
      </c>
    </row>
    <row r="513" spans="14:15" x14ac:dyDescent="0.45">
      <c r="N513">
        <v>512</v>
      </c>
      <c r="O513">
        <v>1528176.8182898667</v>
      </c>
    </row>
    <row r="514" spans="14:15" x14ac:dyDescent="0.45">
      <c r="N514">
        <v>513</v>
      </c>
      <c r="O514">
        <v>1483722.4585748529</v>
      </c>
    </row>
    <row r="515" spans="14:15" x14ac:dyDescent="0.45">
      <c r="N515">
        <v>514</v>
      </c>
      <c r="O515">
        <v>1527971.7527895495</v>
      </c>
    </row>
    <row r="516" spans="14:15" x14ac:dyDescent="0.45">
      <c r="N516">
        <v>515</v>
      </c>
      <c r="O516">
        <v>1499479.2971163241</v>
      </c>
    </row>
    <row r="517" spans="14:15" x14ac:dyDescent="0.45">
      <c r="N517">
        <v>516</v>
      </c>
      <c r="O517">
        <v>1550671.0488334054</v>
      </c>
    </row>
    <row r="518" spans="14:15" x14ac:dyDescent="0.45">
      <c r="N518">
        <v>517</v>
      </c>
      <c r="O518">
        <v>1554290.133323061</v>
      </c>
    </row>
    <row r="519" spans="14:15" x14ac:dyDescent="0.45">
      <c r="N519">
        <v>518</v>
      </c>
      <c r="O519">
        <v>1515869.3221771249</v>
      </c>
    </row>
    <row r="520" spans="14:15" x14ac:dyDescent="0.45">
      <c r="N520">
        <v>519</v>
      </c>
      <c r="O520">
        <v>1532558.3042975045</v>
      </c>
    </row>
    <row r="521" spans="14:15" x14ac:dyDescent="0.45">
      <c r="N521">
        <v>520</v>
      </c>
      <c r="O521">
        <v>1484074.5293322885</v>
      </c>
    </row>
    <row r="522" spans="14:15" x14ac:dyDescent="0.45">
      <c r="N522">
        <v>521</v>
      </c>
      <c r="O522">
        <v>1555048.5060443403</v>
      </c>
    </row>
    <row r="523" spans="14:15" x14ac:dyDescent="0.45">
      <c r="N523">
        <v>522</v>
      </c>
      <c r="O523">
        <v>1532523.8538969918</v>
      </c>
    </row>
    <row r="524" spans="14:15" x14ac:dyDescent="0.45">
      <c r="N524">
        <v>523</v>
      </c>
      <c r="O524">
        <v>1472313.9262254415</v>
      </c>
    </row>
    <row r="525" spans="14:15" x14ac:dyDescent="0.45">
      <c r="N525">
        <v>524</v>
      </c>
      <c r="O525">
        <v>1526795.0263523536</v>
      </c>
    </row>
    <row r="526" spans="14:15" x14ac:dyDescent="0.45">
      <c r="N526">
        <v>525</v>
      </c>
      <c r="O526">
        <v>1544551.3486122189</v>
      </c>
    </row>
    <row r="527" spans="14:15" x14ac:dyDescent="0.45">
      <c r="N527">
        <v>526</v>
      </c>
      <c r="O527">
        <v>1457915.790004503</v>
      </c>
    </row>
    <row r="528" spans="14:15" x14ac:dyDescent="0.45">
      <c r="N528">
        <v>527</v>
      </c>
      <c r="O528">
        <v>1563272.5741319379</v>
      </c>
    </row>
    <row r="529" spans="14:15" x14ac:dyDescent="0.45">
      <c r="N529">
        <v>528</v>
      </c>
      <c r="O529">
        <v>1521251.7247717567</v>
      </c>
    </row>
    <row r="530" spans="14:15" x14ac:dyDescent="0.45">
      <c r="N530">
        <v>529</v>
      </c>
      <c r="O530">
        <v>1483094.1314660944</v>
      </c>
    </row>
    <row r="531" spans="14:15" x14ac:dyDescent="0.45">
      <c r="N531">
        <v>530</v>
      </c>
      <c r="O531">
        <v>1546181.7301948466</v>
      </c>
    </row>
    <row r="532" spans="14:15" x14ac:dyDescent="0.45">
      <c r="N532">
        <v>531</v>
      </c>
      <c r="O532">
        <v>1508091.7321919939</v>
      </c>
    </row>
    <row r="533" spans="14:15" x14ac:dyDescent="0.45">
      <c r="N533">
        <v>532</v>
      </c>
      <c r="O533">
        <v>1570020.9766318677</v>
      </c>
    </row>
    <row r="534" spans="14:15" x14ac:dyDescent="0.45">
      <c r="N534">
        <v>533</v>
      </c>
      <c r="O534">
        <v>1581283.6897810246</v>
      </c>
    </row>
    <row r="535" spans="14:15" x14ac:dyDescent="0.45">
      <c r="N535">
        <v>534</v>
      </c>
      <c r="O535">
        <v>1510188.1753299118</v>
      </c>
    </row>
    <row r="536" spans="14:15" x14ac:dyDescent="0.45">
      <c r="N536">
        <v>535</v>
      </c>
      <c r="O536">
        <v>1540051.5502843042</v>
      </c>
    </row>
    <row r="537" spans="14:15" x14ac:dyDescent="0.45">
      <c r="N537">
        <v>536</v>
      </c>
      <c r="O537">
        <v>1584520.542992397</v>
      </c>
    </row>
    <row r="538" spans="14:15" x14ac:dyDescent="0.45">
      <c r="N538">
        <v>537</v>
      </c>
      <c r="O538">
        <v>1526086.901479512</v>
      </c>
    </row>
    <row r="539" spans="14:15" x14ac:dyDescent="0.45">
      <c r="N539">
        <v>538</v>
      </c>
      <c r="O539">
        <v>1503202.6398179031</v>
      </c>
    </row>
    <row r="540" spans="14:15" x14ac:dyDescent="0.45">
      <c r="N540">
        <v>539</v>
      </c>
      <c r="O540">
        <v>1551170.9547033834</v>
      </c>
    </row>
    <row r="541" spans="14:15" x14ac:dyDescent="0.45">
      <c r="N541">
        <v>540</v>
      </c>
      <c r="O541">
        <v>1513914.358529211</v>
      </c>
    </row>
    <row r="542" spans="14:15" x14ac:dyDescent="0.45">
      <c r="N542">
        <v>541</v>
      </c>
      <c r="O542">
        <v>1517307.4727284324</v>
      </c>
    </row>
    <row r="543" spans="14:15" x14ac:dyDescent="0.45">
      <c r="N543">
        <v>542</v>
      </c>
      <c r="O543">
        <v>1602108.2745141501</v>
      </c>
    </row>
    <row r="544" spans="14:15" x14ac:dyDescent="0.45">
      <c r="N544">
        <v>543</v>
      </c>
      <c r="O544">
        <v>1548163.6041812275</v>
      </c>
    </row>
    <row r="545" spans="14:15" x14ac:dyDescent="0.45">
      <c r="N545">
        <v>544</v>
      </c>
      <c r="O545">
        <v>1609699.1352359888</v>
      </c>
    </row>
    <row r="546" spans="14:15" x14ac:dyDescent="0.45">
      <c r="N546">
        <v>545</v>
      </c>
      <c r="O546">
        <v>1548619.9038686475</v>
      </c>
    </row>
    <row r="547" spans="14:15" x14ac:dyDescent="0.45">
      <c r="N547">
        <v>546</v>
      </c>
      <c r="O547">
        <v>1520569.5101325472</v>
      </c>
    </row>
    <row r="548" spans="14:15" x14ac:dyDescent="0.45">
      <c r="N548">
        <v>547</v>
      </c>
      <c r="O548">
        <v>1621232.3934249629</v>
      </c>
    </row>
    <row r="549" spans="14:15" x14ac:dyDescent="0.45">
      <c r="N549">
        <v>548</v>
      </c>
      <c r="O549">
        <v>1513699.8192724874</v>
      </c>
    </row>
    <row r="550" spans="14:15" x14ac:dyDescent="0.45">
      <c r="N550">
        <v>549</v>
      </c>
      <c r="O550">
        <v>1539714.9266827966</v>
      </c>
    </row>
    <row r="551" spans="14:15" x14ac:dyDescent="0.45">
      <c r="N551">
        <v>550</v>
      </c>
      <c r="O551">
        <v>1551929.8074537441</v>
      </c>
    </row>
    <row r="552" spans="14:15" x14ac:dyDescent="0.45">
      <c r="N552">
        <v>551</v>
      </c>
      <c r="O552">
        <v>1555395.2961621936</v>
      </c>
    </row>
    <row r="553" spans="14:15" x14ac:dyDescent="0.45">
      <c r="N553">
        <v>552</v>
      </c>
      <c r="O553">
        <v>1501782.4272912818</v>
      </c>
    </row>
    <row r="554" spans="14:15" x14ac:dyDescent="0.45">
      <c r="N554">
        <v>553</v>
      </c>
      <c r="O554">
        <v>1533917.367748443</v>
      </c>
    </row>
    <row r="555" spans="14:15" x14ac:dyDescent="0.45">
      <c r="N555">
        <v>554</v>
      </c>
      <c r="O555">
        <v>1508496.9817850601</v>
      </c>
    </row>
    <row r="556" spans="14:15" x14ac:dyDescent="0.45">
      <c r="N556">
        <v>555</v>
      </c>
      <c r="O556">
        <v>1554933.9020380208</v>
      </c>
    </row>
    <row r="557" spans="14:15" x14ac:dyDescent="0.45">
      <c r="N557">
        <v>556</v>
      </c>
      <c r="O557">
        <v>1507939.7316758609</v>
      </c>
    </row>
    <row r="558" spans="14:15" x14ac:dyDescent="0.45">
      <c r="N558">
        <v>557</v>
      </c>
      <c r="O558">
        <v>1566110.4546901456</v>
      </c>
    </row>
    <row r="559" spans="14:15" x14ac:dyDescent="0.45">
      <c r="N559">
        <v>558</v>
      </c>
      <c r="O559">
        <v>1503846.0661505598</v>
      </c>
    </row>
    <row r="560" spans="14:15" x14ac:dyDescent="0.45">
      <c r="N560">
        <v>559</v>
      </c>
      <c r="O560">
        <v>1481535.7127593472</v>
      </c>
    </row>
    <row r="561" spans="14:15" x14ac:dyDescent="0.45">
      <c r="N561">
        <v>560</v>
      </c>
      <c r="O561">
        <v>1521139.0658526551</v>
      </c>
    </row>
    <row r="562" spans="14:15" x14ac:dyDescent="0.45">
      <c r="N562">
        <v>561</v>
      </c>
      <c r="O562">
        <v>1530310.3420892919</v>
      </c>
    </row>
    <row r="563" spans="14:15" x14ac:dyDescent="0.45">
      <c r="N563">
        <v>562</v>
      </c>
      <c r="O563">
        <v>1575285.4202756083</v>
      </c>
    </row>
    <row r="564" spans="14:15" x14ac:dyDescent="0.45">
      <c r="N564">
        <v>563</v>
      </c>
      <c r="O564">
        <v>1587466.174661869</v>
      </c>
    </row>
    <row r="565" spans="14:15" x14ac:dyDescent="0.45">
      <c r="N565">
        <v>564</v>
      </c>
      <c r="O565">
        <v>1500960.3135073246</v>
      </c>
    </row>
    <row r="566" spans="14:15" x14ac:dyDescent="0.45">
      <c r="N566">
        <v>565</v>
      </c>
      <c r="O566">
        <v>1542857.0187834641</v>
      </c>
    </row>
    <row r="567" spans="14:15" x14ac:dyDescent="0.45">
      <c r="N567">
        <v>566</v>
      </c>
      <c r="O567">
        <v>1521473.5510409093</v>
      </c>
    </row>
    <row r="568" spans="14:15" x14ac:dyDescent="0.45">
      <c r="N568">
        <v>567</v>
      </c>
      <c r="O568">
        <v>1533148.2760658162</v>
      </c>
    </row>
    <row r="569" spans="14:15" x14ac:dyDescent="0.45">
      <c r="N569">
        <v>568</v>
      </c>
      <c r="O569">
        <v>1576128.4568911323</v>
      </c>
    </row>
    <row r="570" spans="14:15" x14ac:dyDescent="0.45">
      <c r="N570">
        <v>569</v>
      </c>
      <c r="O570">
        <v>1547338.979197663</v>
      </c>
    </row>
    <row r="571" spans="14:15" x14ac:dyDescent="0.45">
      <c r="N571">
        <v>570</v>
      </c>
      <c r="O571">
        <v>1449184.4325211144</v>
      </c>
    </row>
    <row r="572" spans="14:15" x14ac:dyDescent="0.45">
      <c r="N572">
        <v>571</v>
      </c>
      <c r="O572">
        <v>1522308.2999598484</v>
      </c>
    </row>
    <row r="573" spans="14:15" x14ac:dyDescent="0.45">
      <c r="N573">
        <v>572</v>
      </c>
      <c r="O573">
        <v>1619670.556560324</v>
      </c>
    </row>
    <row r="574" spans="14:15" x14ac:dyDescent="0.45">
      <c r="N574">
        <v>573</v>
      </c>
      <c r="O574">
        <v>1534276.9132684248</v>
      </c>
    </row>
    <row r="575" spans="14:15" x14ac:dyDescent="0.45">
      <c r="N575">
        <v>574</v>
      </c>
      <c r="O575">
        <v>1560719.4728571677</v>
      </c>
    </row>
    <row r="576" spans="14:15" x14ac:dyDescent="0.45">
      <c r="N576">
        <v>575</v>
      </c>
      <c r="O576">
        <v>1498375.2596057984</v>
      </c>
    </row>
    <row r="577" spans="14:15" x14ac:dyDescent="0.45">
      <c r="N577">
        <v>576</v>
      </c>
      <c r="O577">
        <v>1501495.7611605858</v>
      </c>
    </row>
    <row r="578" spans="14:15" x14ac:dyDescent="0.45">
      <c r="N578">
        <v>577</v>
      </c>
      <c r="O578">
        <v>1608296.4559830776</v>
      </c>
    </row>
    <row r="579" spans="14:15" x14ac:dyDescent="0.45">
      <c r="N579">
        <v>578</v>
      </c>
      <c r="O579">
        <v>1561213.1992475179</v>
      </c>
    </row>
    <row r="580" spans="14:15" x14ac:dyDescent="0.45">
      <c r="N580">
        <v>579</v>
      </c>
      <c r="O580">
        <v>1528948.9709631184</v>
      </c>
    </row>
    <row r="581" spans="14:15" x14ac:dyDescent="0.45">
      <c r="N581">
        <v>580</v>
      </c>
      <c r="O581">
        <v>1540154.5546239614</v>
      </c>
    </row>
    <row r="582" spans="14:15" x14ac:dyDescent="0.45">
      <c r="N582">
        <v>581</v>
      </c>
      <c r="O582">
        <v>1499595.3647034881</v>
      </c>
    </row>
    <row r="583" spans="14:15" x14ac:dyDescent="0.45">
      <c r="N583">
        <v>582</v>
      </c>
      <c r="O583">
        <v>1558909.6004561819</v>
      </c>
    </row>
    <row r="584" spans="14:15" x14ac:dyDescent="0.45">
      <c r="N584">
        <v>583</v>
      </c>
      <c r="O584">
        <v>1500577.8130759594</v>
      </c>
    </row>
    <row r="585" spans="14:15" x14ac:dyDescent="0.45">
      <c r="N585">
        <v>584</v>
      </c>
      <c r="O585">
        <v>1554131.1414715101</v>
      </c>
    </row>
    <row r="586" spans="14:15" x14ac:dyDescent="0.45">
      <c r="N586">
        <v>585</v>
      </c>
      <c r="O586">
        <v>1519487.8731167573</v>
      </c>
    </row>
    <row r="587" spans="14:15" x14ac:dyDescent="0.45">
      <c r="N587">
        <v>586</v>
      </c>
      <c r="O587">
        <v>1540069.3864840181</v>
      </c>
    </row>
    <row r="588" spans="14:15" x14ac:dyDescent="0.45">
      <c r="N588">
        <v>587</v>
      </c>
      <c r="O588">
        <v>1553442.6134401069</v>
      </c>
    </row>
    <row r="589" spans="14:15" x14ac:dyDescent="0.45">
      <c r="N589">
        <v>588</v>
      </c>
      <c r="O589">
        <v>1563648.5945204818</v>
      </c>
    </row>
    <row r="590" spans="14:15" x14ac:dyDescent="0.45">
      <c r="N590">
        <v>589</v>
      </c>
      <c r="O590">
        <v>1575084.5266500427</v>
      </c>
    </row>
    <row r="591" spans="14:15" x14ac:dyDescent="0.45">
      <c r="N591">
        <v>590</v>
      </c>
      <c r="O591">
        <v>1597010.0343966014</v>
      </c>
    </row>
    <row r="592" spans="14:15" x14ac:dyDescent="0.45">
      <c r="N592">
        <v>591</v>
      </c>
      <c r="O592">
        <v>1568756.4129218671</v>
      </c>
    </row>
    <row r="593" spans="14:15" x14ac:dyDescent="0.45">
      <c r="N593">
        <v>592</v>
      </c>
      <c r="O593">
        <v>1583106.913517267</v>
      </c>
    </row>
    <row r="594" spans="14:15" x14ac:dyDescent="0.45">
      <c r="N594">
        <v>593</v>
      </c>
      <c r="O594">
        <v>1632886.2507849713</v>
      </c>
    </row>
    <row r="595" spans="14:15" x14ac:dyDescent="0.45">
      <c r="N595">
        <v>594</v>
      </c>
      <c r="O595">
        <v>1587665.2282519427</v>
      </c>
    </row>
    <row r="596" spans="14:15" x14ac:dyDescent="0.45">
      <c r="N596">
        <v>595</v>
      </c>
      <c r="O596">
        <v>1479449.8882848171</v>
      </c>
    </row>
    <row r="597" spans="14:15" x14ac:dyDescent="0.45">
      <c r="N597">
        <v>596</v>
      </c>
      <c r="O597">
        <v>1538508.7242236654</v>
      </c>
    </row>
    <row r="598" spans="14:15" x14ac:dyDescent="0.45">
      <c r="N598">
        <v>597</v>
      </c>
      <c r="O598">
        <v>1523573.5626759923</v>
      </c>
    </row>
    <row r="599" spans="14:15" x14ac:dyDescent="0.45">
      <c r="N599">
        <v>598</v>
      </c>
      <c r="O599">
        <v>1526051.444604306</v>
      </c>
    </row>
    <row r="600" spans="14:15" x14ac:dyDescent="0.45">
      <c r="N600">
        <v>599</v>
      </c>
      <c r="O600">
        <v>1531948.9080862689</v>
      </c>
    </row>
    <row r="601" spans="14:15" x14ac:dyDescent="0.45">
      <c r="N601">
        <v>600</v>
      </c>
      <c r="O601">
        <v>1574780.4935765741</v>
      </c>
    </row>
    <row r="602" spans="14:15" x14ac:dyDescent="0.45">
      <c r="N602">
        <v>601</v>
      </c>
      <c r="O602">
        <v>1511162.4111811186</v>
      </c>
    </row>
    <row r="603" spans="14:15" x14ac:dyDescent="0.45">
      <c r="N603">
        <v>602</v>
      </c>
      <c r="O603">
        <v>1550459.126704966</v>
      </c>
    </row>
    <row r="604" spans="14:15" x14ac:dyDescent="0.45">
      <c r="N604">
        <v>603</v>
      </c>
      <c r="O604">
        <v>1551770.9266320602</v>
      </c>
    </row>
    <row r="605" spans="14:15" x14ac:dyDescent="0.45">
      <c r="N605">
        <v>604</v>
      </c>
      <c r="O605">
        <v>1521129.0616333622</v>
      </c>
    </row>
    <row r="606" spans="14:15" x14ac:dyDescent="0.45">
      <c r="N606">
        <v>605</v>
      </c>
      <c r="O606">
        <v>1588880.2664953598</v>
      </c>
    </row>
    <row r="607" spans="14:15" x14ac:dyDescent="0.45">
      <c r="N607">
        <v>606</v>
      </c>
      <c r="O607">
        <v>1552832.4003233681</v>
      </c>
    </row>
    <row r="608" spans="14:15" x14ac:dyDescent="0.45">
      <c r="N608">
        <v>607</v>
      </c>
      <c r="O608">
        <v>1535669.4221229996</v>
      </c>
    </row>
    <row r="609" spans="14:15" x14ac:dyDescent="0.45">
      <c r="N609">
        <v>608</v>
      </c>
      <c r="O609">
        <v>1611588.1419217063</v>
      </c>
    </row>
    <row r="610" spans="14:15" x14ac:dyDescent="0.45">
      <c r="N610">
        <v>609</v>
      </c>
      <c r="O610">
        <v>1553066.6053650188</v>
      </c>
    </row>
    <row r="611" spans="14:15" x14ac:dyDescent="0.45">
      <c r="N611">
        <v>610</v>
      </c>
      <c r="O611">
        <v>1547261.1543289092</v>
      </c>
    </row>
    <row r="612" spans="14:15" x14ac:dyDescent="0.45">
      <c r="N612">
        <v>611</v>
      </c>
      <c r="O612">
        <v>1527249.7300873667</v>
      </c>
    </row>
    <row r="613" spans="14:15" x14ac:dyDescent="0.45">
      <c r="N613">
        <v>612</v>
      </c>
      <c r="O613">
        <v>1611849.416437889</v>
      </c>
    </row>
    <row r="614" spans="14:15" x14ac:dyDescent="0.45">
      <c r="N614">
        <v>613</v>
      </c>
      <c r="O614">
        <v>1468358.9309369931</v>
      </c>
    </row>
    <row r="615" spans="14:15" x14ac:dyDescent="0.45">
      <c r="N615">
        <v>614</v>
      </c>
      <c r="O615">
        <v>1539964.9677969974</v>
      </c>
    </row>
    <row r="616" spans="14:15" x14ac:dyDescent="0.45">
      <c r="N616">
        <v>615</v>
      </c>
      <c r="O616">
        <v>1571708.8482424177</v>
      </c>
    </row>
    <row r="617" spans="14:15" x14ac:dyDescent="0.45">
      <c r="N617">
        <v>616</v>
      </c>
      <c r="O617">
        <v>1528225.1835084748</v>
      </c>
    </row>
    <row r="618" spans="14:15" x14ac:dyDescent="0.45">
      <c r="N618">
        <v>617</v>
      </c>
      <c r="O618">
        <v>1546480.9501335188</v>
      </c>
    </row>
    <row r="619" spans="14:15" x14ac:dyDescent="0.45">
      <c r="N619">
        <v>618</v>
      </c>
      <c r="O619">
        <v>1570980.7708187141</v>
      </c>
    </row>
    <row r="620" spans="14:15" x14ac:dyDescent="0.45">
      <c r="N620">
        <v>619</v>
      </c>
      <c r="O620">
        <v>1496438.6676727138</v>
      </c>
    </row>
    <row r="621" spans="14:15" x14ac:dyDescent="0.45">
      <c r="N621">
        <v>620</v>
      </c>
      <c r="O621">
        <v>1622577.1986618731</v>
      </c>
    </row>
    <row r="622" spans="14:15" x14ac:dyDescent="0.45">
      <c r="N622">
        <v>621</v>
      </c>
      <c r="O622">
        <v>1568447.6607782778</v>
      </c>
    </row>
    <row r="623" spans="14:15" x14ac:dyDescent="0.45">
      <c r="N623">
        <v>622</v>
      </c>
      <c r="O623">
        <v>1544434.1267449064</v>
      </c>
    </row>
    <row r="624" spans="14:15" x14ac:dyDescent="0.45">
      <c r="N624">
        <v>623</v>
      </c>
      <c r="O624">
        <v>1547071.6870731483</v>
      </c>
    </row>
    <row r="625" spans="14:15" x14ac:dyDescent="0.45">
      <c r="N625">
        <v>624</v>
      </c>
      <c r="O625">
        <v>1498539.6581637915</v>
      </c>
    </row>
    <row r="626" spans="14:15" x14ac:dyDescent="0.45">
      <c r="N626">
        <v>625</v>
      </c>
      <c r="O626">
        <v>1515676.4046404585</v>
      </c>
    </row>
    <row r="627" spans="14:15" x14ac:dyDescent="0.45">
      <c r="N627">
        <v>626</v>
      </c>
      <c r="O627">
        <v>1568501.7094781608</v>
      </c>
    </row>
    <row r="628" spans="14:15" x14ac:dyDescent="0.45">
      <c r="N628">
        <v>627</v>
      </c>
      <c r="O628">
        <v>1487484.8475258674</v>
      </c>
    </row>
    <row r="629" spans="14:15" x14ac:dyDescent="0.45">
      <c r="N629">
        <v>628</v>
      </c>
      <c r="O629">
        <v>1549123.7819294217</v>
      </c>
    </row>
    <row r="630" spans="14:15" x14ac:dyDescent="0.45">
      <c r="N630">
        <v>629</v>
      </c>
      <c r="O630">
        <v>1549680.0049676097</v>
      </c>
    </row>
    <row r="631" spans="14:15" x14ac:dyDescent="0.45">
      <c r="N631">
        <v>630</v>
      </c>
      <c r="O631">
        <v>1530322.2909171102</v>
      </c>
    </row>
    <row r="632" spans="14:15" x14ac:dyDescent="0.45">
      <c r="N632">
        <v>631</v>
      </c>
      <c r="O632">
        <v>1591275.193030454</v>
      </c>
    </row>
    <row r="633" spans="14:15" x14ac:dyDescent="0.45">
      <c r="N633">
        <v>632</v>
      </c>
      <c r="O633">
        <v>1565668.3786315357</v>
      </c>
    </row>
    <row r="634" spans="14:15" x14ac:dyDescent="0.45">
      <c r="N634">
        <v>633</v>
      </c>
      <c r="O634">
        <v>1552780.8954537744</v>
      </c>
    </row>
    <row r="635" spans="14:15" x14ac:dyDescent="0.45">
      <c r="N635">
        <v>634</v>
      </c>
      <c r="O635">
        <v>1542706.4173820103</v>
      </c>
    </row>
    <row r="636" spans="14:15" x14ac:dyDescent="0.45">
      <c r="N636">
        <v>635</v>
      </c>
      <c r="O636">
        <v>1551428.8598862197</v>
      </c>
    </row>
    <row r="637" spans="14:15" x14ac:dyDescent="0.45">
      <c r="N637">
        <v>636</v>
      </c>
      <c r="O637">
        <v>1566610.7246721603</v>
      </c>
    </row>
    <row r="638" spans="14:15" x14ac:dyDescent="0.45">
      <c r="N638">
        <v>637</v>
      </c>
      <c r="O638">
        <v>1556969.9513699589</v>
      </c>
    </row>
    <row r="639" spans="14:15" x14ac:dyDescent="0.45">
      <c r="N639">
        <v>638</v>
      </c>
      <c r="O639">
        <v>1522952.9598750349</v>
      </c>
    </row>
    <row r="640" spans="14:15" x14ac:dyDescent="0.45">
      <c r="N640">
        <v>639</v>
      </c>
      <c r="O640">
        <v>1517037.0789715878</v>
      </c>
    </row>
    <row r="641" spans="14:15" x14ac:dyDescent="0.45">
      <c r="N641">
        <v>640</v>
      </c>
      <c r="O641">
        <v>1517866.1655131991</v>
      </c>
    </row>
    <row r="642" spans="14:15" x14ac:dyDescent="0.45">
      <c r="N642">
        <v>641</v>
      </c>
      <c r="O642">
        <v>1608124.909964205</v>
      </c>
    </row>
    <row r="643" spans="14:15" x14ac:dyDescent="0.45">
      <c r="N643">
        <v>642</v>
      </c>
      <c r="O643">
        <v>1613127.4360330133</v>
      </c>
    </row>
    <row r="644" spans="14:15" x14ac:dyDescent="0.45">
      <c r="N644">
        <v>643</v>
      </c>
      <c r="O644">
        <v>1522172.2383514633</v>
      </c>
    </row>
    <row r="645" spans="14:15" x14ac:dyDescent="0.45">
      <c r="N645">
        <v>644</v>
      </c>
      <c r="O645">
        <v>1523227.984138306</v>
      </c>
    </row>
    <row r="646" spans="14:15" x14ac:dyDescent="0.45">
      <c r="N646">
        <v>645</v>
      </c>
      <c r="O646">
        <v>1569180.0571209621</v>
      </c>
    </row>
    <row r="647" spans="14:15" x14ac:dyDescent="0.45">
      <c r="N647">
        <v>646</v>
      </c>
      <c r="O647">
        <v>1561570.2977081202</v>
      </c>
    </row>
    <row r="648" spans="14:15" x14ac:dyDescent="0.45">
      <c r="N648">
        <v>647</v>
      </c>
      <c r="O648">
        <v>1563336.2534363647</v>
      </c>
    </row>
    <row r="649" spans="14:15" x14ac:dyDescent="0.45">
      <c r="N649">
        <v>648</v>
      </c>
      <c r="O649">
        <v>1545323.5971670309</v>
      </c>
    </row>
    <row r="650" spans="14:15" x14ac:dyDescent="0.45">
      <c r="N650">
        <v>649</v>
      </c>
      <c r="O650">
        <v>1602290.7761084405</v>
      </c>
    </row>
    <row r="651" spans="14:15" x14ac:dyDescent="0.45">
      <c r="N651">
        <v>650</v>
      </c>
      <c r="O651">
        <v>1553406.3952400442</v>
      </c>
    </row>
    <row r="652" spans="14:15" x14ac:dyDescent="0.45">
      <c r="N652">
        <v>651</v>
      </c>
      <c r="O652">
        <v>1568895.6132886198</v>
      </c>
    </row>
    <row r="653" spans="14:15" x14ac:dyDescent="0.45">
      <c r="N653">
        <v>652</v>
      </c>
      <c r="O653">
        <v>1545345.5057450673</v>
      </c>
    </row>
    <row r="654" spans="14:15" x14ac:dyDescent="0.45">
      <c r="N654">
        <v>653</v>
      </c>
      <c r="O654">
        <v>1531217.836434368</v>
      </c>
    </row>
    <row r="655" spans="14:15" x14ac:dyDescent="0.45">
      <c r="N655">
        <v>654</v>
      </c>
      <c r="O655">
        <v>1498418.7219447922</v>
      </c>
    </row>
    <row r="656" spans="14:15" x14ac:dyDescent="0.45">
      <c r="N656">
        <v>655</v>
      </c>
      <c r="O656">
        <v>1490132.5123600615</v>
      </c>
    </row>
    <row r="657" spans="14:15" x14ac:dyDescent="0.45">
      <c r="N657">
        <v>656</v>
      </c>
      <c r="O657">
        <v>1552393.311885346</v>
      </c>
    </row>
    <row r="658" spans="14:15" x14ac:dyDescent="0.45">
      <c r="N658">
        <v>657</v>
      </c>
      <c r="O658">
        <v>1537403.637657979</v>
      </c>
    </row>
    <row r="659" spans="14:15" x14ac:dyDescent="0.45">
      <c r="N659">
        <v>658</v>
      </c>
      <c r="O659">
        <v>1523671.1168174157</v>
      </c>
    </row>
    <row r="660" spans="14:15" x14ac:dyDescent="0.45">
      <c r="N660">
        <v>659</v>
      </c>
      <c r="O660">
        <v>1549001.9198742695</v>
      </c>
    </row>
    <row r="661" spans="14:15" x14ac:dyDescent="0.45">
      <c r="N661">
        <v>660</v>
      </c>
      <c r="O661">
        <v>1523117.8226759338</v>
      </c>
    </row>
    <row r="662" spans="14:15" x14ac:dyDescent="0.45">
      <c r="N662">
        <v>661</v>
      </c>
      <c r="O662">
        <v>1564595.783377615</v>
      </c>
    </row>
    <row r="663" spans="14:15" x14ac:dyDescent="0.45">
      <c r="N663">
        <v>662</v>
      </c>
      <c r="O663">
        <v>1533886.5128077562</v>
      </c>
    </row>
    <row r="664" spans="14:15" x14ac:dyDescent="0.45">
      <c r="N664">
        <v>663</v>
      </c>
      <c r="O664">
        <v>1544487.6124197247</v>
      </c>
    </row>
    <row r="665" spans="14:15" x14ac:dyDescent="0.45">
      <c r="N665">
        <v>664</v>
      </c>
      <c r="O665">
        <v>1497831.8297121276</v>
      </c>
    </row>
    <row r="666" spans="14:15" x14ac:dyDescent="0.45">
      <c r="N666">
        <v>665</v>
      </c>
      <c r="O666">
        <v>1559652.2446828478</v>
      </c>
    </row>
    <row r="667" spans="14:15" x14ac:dyDescent="0.45">
      <c r="N667">
        <v>666</v>
      </c>
      <c r="O667">
        <v>1509805.3723438308</v>
      </c>
    </row>
    <row r="668" spans="14:15" x14ac:dyDescent="0.45">
      <c r="N668">
        <v>667</v>
      </c>
      <c r="O668">
        <v>1483050.0352368921</v>
      </c>
    </row>
    <row r="669" spans="14:15" x14ac:dyDescent="0.45">
      <c r="N669">
        <v>668</v>
      </c>
      <c r="O669">
        <v>1587474.8964778669</v>
      </c>
    </row>
    <row r="670" spans="14:15" x14ac:dyDescent="0.45">
      <c r="N670">
        <v>669</v>
      </c>
      <c r="O670">
        <v>1508190.6861296576</v>
      </c>
    </row>
    <row r="671" spans="14:15" x14ac:dyDescent="0.45">
      <c r="N671">
        <v>670</v>
      </c>
      <c r="O671">
        <v>1547604.4087503091</v>
      </c>
    </row>
    <row r="672" spans="14:15" x14ac:dyDescent="0.45">
      <c r="N672">
        <v>671</v>
      </c>
      <c r="O672">
        <v>1589046.8215253872</v>
      </c>
    </row>
    <row r="673" spans="14:15" x14ac:dyDescent="0.45">
      <c r="N673">
        <v>672</v>
      </c>
      <c r="O673">
        <v>1580878.450882311</v>
      </c>
    </row>
    <row r="674" spans="14:15" x14ac:dyDescent="0.45">
      <c r="N674">
        <v>673</v>
      </c>
      <c r="O674">
        <v>1536421.5043057788</v>
      </c>
    </row>
    <row r="675" spans="14:15" x14ac:dyDescent="0.45">
      <c r="N675">
        <v>674</v>
      </c>
      <c r="O675">
        <v>1453201.8722680355</v>
      </c>
    </row>
    <row r="676" spans="14:15" x14ac:dyDescent="0.45">
      <c r="N676">
        <v>675</v>
      </c>
      <c r="O676">
        <v>1552525.4255587948</v>
      </c>
    </row>
    <row r="677" spans="14:15" x14ac:dyDescent="0.45">
      <c r="N677">
        <v>676</v>
      </c>
      <c r="O677">
        <v>1471057.9464617241</v>
      </c>
    </row>
    <row r="678" spans="14:15" x14ac:dyDescent="0.45">
      <c r="N678">
        <v>677</v>
      </c>
      <c r="O678">
        <v>1528485.749083786</v>
      </c>
    </row>
    <row r="679" spans="14:15" x14ac:dyDescent="0.45">
      <c r="N679">
        <v>678</v>
      </c>
      <c r="O679">
        <v>1473052.3259058094</v>
      </c>
    </row>
    <row r="680" spans="14:15" x14ac:dyDescent="0.45">
      <c r="N680">
        <v>679</v>
      </c>
      <c r="O680">
        <v>1631200.2423824037</v>
      </c>
    </row>
    <row r="681" spans="14:15" x14ac:dyDescent="0.45">
      <c r="N681">
        <v>680</v>
      </c>
      <c r="O681">
        <v>1505719.4810366067</v>
      </c>
    </row>
    <row r="682" spans="14:15" x14ac:dyDescent="0.45">
      <c r="N682">
        <v>681</v>
      </c>
      <c r="O682">
        <v>1595003.9427905451</v>
      </c>
    </row>
    <row r="683" spans="14:15" x14ac:dyDescent="0.45">
      <c r="N683">
        <v>682</v>
      </c>
      <c r="O683">
        <v>1555741.5459092706</v>
      </c>
    </row>
    <row r="684" spans="14:15" x14ac:dyDescent="0.45">
      <c r="N684">
        <v>683</v>
      </c>
      <c r="O684">
        <v>1534728.8132683905</v>
      </c>
    </row>
    <row r="685" spans="14:15" x14ac:dyDescent="0.45">
      <c r="N685">
        <v>684</v>
      </c>
      <c r="O685">
        <v>1532162.0516714905</v>
      </c>
    </row>
    <row r="686" spans="14:15" x14ac:dyDescent="0.45">
      <c r="N686">
        <v>685</v>
      </c>
      <c r="O686">
        <v>1519282.3176018423</v>
      </c>
    </row>
    <row r="687" spans="14:15" x14ac:dyDescent="0.45">
      <c r="N687">
        <v>686</v>
      </c>
      <c r="O687">
        <v>1584340.2287553831</v>
      </c>
    </row>
    <row r="688" spans="14:15" x14ac:dyDescent="0.45">
      <c r="N688">
        <v>687</v>
      </c>
      <c r="O688">
        <v>1517810.8571181125</v>
      </c>
    </row>
    <row r="689" spans="14:15" x14ac:dyDescent="0.45">
      <c r="N689">
        <v>688</v>
      </c>
      <c r="O689">
        <v>1557854.4020274254</v>
      </c>
    </row>
    <row r="690" spans="14:15" x14ac:dyDescent="0.45">
      <c r="N690">
        <v>689</v>
      </c>
      <c r="O690">
        <v>1533155.3347299227</v>
      </c>
    </row>
    <row r="691" spans="14:15" x14ac:dyDescent="0.45">
      <c r="N691">
        <v>690</v>
      </c>
      <c r="O691">
        <v>1565956.0861520807</v>
      </c>
    </row>
    <row r="692" spans="14:15" x14ac:dyDescent="0.45">
      <c r="N692">
        <v>691</v>
      </c>
      <c r="O692">
        <v>1520465.3961721319</v>
      </c>
    </row>
    <row r="693" spans="14:15" x14ac:dyDescent="0.45">
      <c r="N693">
        <v>692</v>
      </c>
      <c r="O693">
        <v>1550036.2922299257</v>
      </c>
    </row>
    <row r="694" spans="14:15" x14ac:dyDescent="0.45">
      <c r="N694">
        <v>693</v>
      </c>
      <c r="O694">
        <v>1511474.6432316655</v>
      </c>
    </row>
    <row r="695" spans="14:15" x14ac:dyDescent="0.45">
      <c r="N695">
        <v>694</v>
      </c>
      <c r="O695">
        <v>1552977.4552419703</v>
      </c>
    </row>
    <row r="696" spans="14:15" x14ac:dyDescent="0.45">
      <c r="N696">
        <v>695</v>
      </c>
      <c r="O696">
        <v>1474003.618244407</v>
      </c>
    </row>
    <row r="697" spans="14:15" x14ac:dyDescent="0.45">
      <c r="N697">
        <v>696</v>
      </c>
      <c r="O697">
        <v>1591033.8974261458</v>
      </c>
    </row>
    <row r="698" spans="14:15" x14ac:dyDescent="0.45">
      <c r="N698">
        <v>697</v>
      </c>
      <c r="O698">
        <v>1559249.6134786643</v>
      </c>
    </row>
    <row r="699" spans="14:15" x14ac:dyDescent="0.45">
      <c r="N699">
        <v>698</v>
      </c>
      <c r="O699">
        <v>1500321.5824299552</v>
      </c>
    </row>
    <row r="700" spans="14:15" x14ac:dyDescent="0.45">
      <c r="N700">
        <v>699</v>
      </c>
      <c r="O700">
        <v>1523944.2466867247</v>
      </c>
    </row>
    <row r="701" spans="14:15" x14ac:dyDescent="0.45">
      <c r="N701">
        <v>700</v>
      </c>
      <c r="O701">
        <v>1625763.4811780185</v>
      </c>
    </row>
    <row r="702" spans="14:15" x14ac:dyDescent="0.45">
      <c r="N702">
        <v>701</v>
      </c>
      <c r="O702">
        <v>1490656.4645357504</v>
      </c>
    </row>
    <row r="703" spans="14:15" x14ac:dyDescent="0.45">
      <c r="N703">
        <v>702</v>
      </c>
      <c r="O703">
        <v>1483673.5571413462</v>
      </c>
    </row>
    <row r="704" spans="14:15" x14ac:dyDescent="0.45">
      <c r="N704">
        <v>703</v>
      </c>
      <c r="O704">
        <v>1546968.6255807132</v>
      </c>
    </row>
    <row r="705" spans="14:15" x14ac:dyDescent="0.45">
      <c r="N705">
        <v>704</v>
      </c>
      <c r="O705">
        <v>1569227.861707601</v>
      </c>
    </row>
    <row r="706" spans="14:15" x14ac:dyDescent="0.45">
      <c r="N706">
        <v>705</v>
      </c>
      <c r="O706">
        <v>1559070.7755915048</v>
      </c>
    </row>
    <row r="707" spans="14:15" x14ac:dyDescent="0.45">
      <c r="N707">
        <v>706</v>
      </c>
      <c r="O707">
        <v>1567972.9908486169</v>
      </c>
    </row>
    <row r="708" spans="14:15" x14ac:dyDescent="0.45">
      <c r="N708">
        <v>707</v>
      </c>
      <c r="O708">
        <v>1568937.3344079</v>
      </c>
    </row>
    <row r="709" spans="14:15" x14ac:dyDescent="0.45">
      <c r="N709">
        <v>708</v>
      </c>
      <c r="O709">
        <v>1461775.7075656129</v>
      </c>
    </row>
    <row r="710" spans="14:15" x14ac:dyDescent="0.45">
      <c r="N710">
        <v>709</v>
      </c>
      <c r="O710">
        <v>1557780.9684220562</v>
      </c>
    </row>
    <row r="711" spans="14:15" x14ac:dyDescent="0.45">
      <c r="N711">
        <v>710</v>
      </c>
      <c r="O711">
        <v>1509414.1922172788</v>
      </c>
    </row>
    <row r="712" spans="14:15" x14ac:dyDescent="0.45">
      <c r="N712">
        <v>711</v>
      </c>
      <c r="O712">
        <v>1528747.4937333369</v>
      </c>
    </row>
    <row r="713" spans="14:15" x14ac:dyDescent="0.45">
      <c r="N713">
        <v>712</v>
      </c>
      <c r="O713">
        <v>1498511.777195516</v>
      </c>
    </row>
    <row r="714" spans="14:15" x14ac:dyDescent="0.45">
      <c r="N714">
        <v>713</v>
      </c>
      <c r="O714">
        <v>1540257.5163934035</v>
      </c>
    </row>
    <row r="715" spans="14:15" x14ac:dyDescent="0.45">
      <c r="N715">
        <v>714</v>
      </c>
      <c r="O715">
        <v>1535552.7169295102</v>
      </c>
    </row>
    <row r="716" spans="14:15" x14ac:dyDescent="0.45">
      <c r="N716">
        <v>715</v>
      </c>
      <c r="O716">
        <v>1541451.1373523292</v>
      </c>
    </row>
    <row r="717" spans="14:15" x14ac:dyDescent="0.45">
      <c r="N717">
        <v>716</v>
      </c>
      <c r="O717">
        <v>1537603.0402098764</v>
      </c>
    </row>
    <row r="718" spans="14:15" x14ac:dyDescent="0.45">
      <c r="N718">
        <v>717</v>
      </c>
      <c r="O718">
        <v>1501505.8703492181</v>
      </c>
    </row>
    <row r="719" spans="14:15" x14ac:dyDescent="0.45">
      <c r="N719">
        <v>718</v>
      </c>
      <c r="O719">
        <v>1553910.0023781953</v>
      </c>
    </row>
    <row r="720" spans="14:15" x14ac:dyDescent="0.45">
      <c r="N720">
        <v>719</v>
      </c>
      <c r="O720">
        <v>1564999.2953595901</v>
      </c>
    </row>
    <row r="721" spans="14:15" x14ac:dyDescent="0.45">
      <c r="N721">
        <v>720</v>
      </c>
      <c r="O721">
        <v>1593746.8348879155</v>
      </c>
    </row>
    <row r="722" spans="14:15" x14ac:dyDescent="0.45">
      <c r="N722">
        <v>721</v>
      </c>
      <c r="O722">
        <v>1483009.790203999</v>
      </c>
    </row>
    <row r="723" spans="14:15" x14ac:dyDescent="0.45">
      <c r="N723">
        <v>722</v>
      </c>
      <c r="O723">
        <v>1526737.7029687138</v>
      </c>
    </row>
    <row r="724" spans="14:15" x14ac:dyDescent="0.45">
      <c r="N724">
        <v>723</v>
      </c>
      <c r="O724">
        <v>1500153.0163094674</v>
      </c>
    </row>
    <row r="725" spans="14:15" x14ac:dyDescent="0.45">
      <c r="N725">
        <v>724</v>
      </c>
      <c r="O725">
        <v>1513302.2975164258</v>
      </c>
    </row>
    <row r="726" spans="14:15" x14ac:dyDescent="0.45">
      <c r="N726">
        <v>725</v>
      </c>
      <c r="O726">
        <v>1535308.3431953196</v>
      </c>
    </row>
    <row r="727" spans="14:15" x14ac:dyDescent="0.45">
      <c r="N727">
        <v>726</v>
      </c>
      <c r="O727">
        <v>1644353.7700258112</v>
      </c>
    </row>
    <row r="728" spans="14:15" x14ac:dyDescent="0.45">
      <c r="N728">
        <v>727</v>
      </c>
      <c r="O728">
        <v>1534992.4689843841</v>
      </c>
    </row>
    <row r="729" spans="14:15" x14ac:dyDescent="0.45">
      <c r="N729">
        <v>728</v>
      </c>
      <c r="O729">
        <v>1490163.1335630864</v>
      </c>
    </row>
    <row r="730" spans="14:15" x14ac:dyDescent="0.45">
      <c r="N730">
        <v>729</v>
      </c>
      <c r="O730">
        <v>1614823.8726651524</v>
      </c>
    </row>
    <row r="731" spans="14:15" x14ac:dyDescent="0.45">
      <c r="N731">
        <v>730</v>
      </c>
      <c r="O731">
        <v>1575111.4496362659</v>
      </c>
    </row>
    <row r="732" spans="14:15" x14ac:dyDescent="0.45">
      <c r="N732">
        <v>731</v>
      </c>
      <c r="O732">
        <v>1521718.6162482407</v>
      </c>
    </row>
    <row r="733" spans="14:15" x14ac:dyDescent="0.45">
      <c r="N733">
        <v>732</v>
      </c>
      <c r="O733">
        <v>1512638.3478954851</v>
      </c>
    </row>
    <row r="734" spans="14:15" x14ac:dyDescent="0.45">
      <c r="N734">
        <v>733</v>
      </c>
      <c r="O734">
        <v>1551819.5518232847</v>
      </c>
    </row>
    <row r="735" spans="14:15" x14ac:dyDescent="0.45">
      <c r="N735">
        <v>734</v>
      </c>
      <c r="O735">
        <v>1539118.2246092197</v>
      </c>
    </row>
    <row r="736" spans="14:15" x14ac:dyDescent="0.45">
      <c r="N736">
        <v>735</v>
      </c>
      <c r="O736">
        <v>1521011.0967653878</v>
      </c>
    </row>
    <row r="737" spans="14:15" x14ac:dyDescent="0.45">
      <c r="N737">
        <v>736</v>
      </c>
      <c r="O737">
        <v>1525899.2720581822</v>
      </c>
    </row>
    <row r="738" spans="14:15" x14ac:dyDescent="0.45">
      <c r="N738">
        <v>737</v>
      </c>
      <c r="O738">
        <v>1522591.1373423014</v>
      </c>
    </row>
    <row r="739" spans="14:15" x14ac:dyDescent="0.45">
      <c r="N739">
        <v>738</v>
      </c>
      <c r="O739">
        <v>1584679.5028598784</v>
      </c>
    </row>
    <row r="740" spans="14:15" x14ac:dyDescent="0.45">
      <c r="N740">
        <v>739</v>
      </c>
      <c r="O740">
        <v>1554245.3861370445</v>
      </c>
    </row>
    <row r="741" spans="14:15" x14ac:dyDescent="0.45">
      <c r="N741">
        <v>740</v>
      </c>
      <c r="O741">
        <v>1504375.4651644698</v>
      </c>
    </row>
    <row r="742" spans="14:15" x14ac:dyDescent="0.45">
      <c r="N742">
        <v>741</v>
      </c>
      <c r="O742">
        <v>1466116.9738245625</v>
      </c>
    </row>
    <row r="743" spans="14:15" x14ac:dyDescent="0.45">
      <c r="N743">
        <v>742</v>
      </c>
      <c r="O743">
        <v>1529262.6441635564</v>
      </c>
    </row>
    <row r="744" spans="14:15" x14ac:dyDescent="0.45">
      <c r="N744">
        <v>743</v>
      </c>
      <c r="O744">
        <v>1562121.9667786104</v>
      </c>
    </row>
    <row r="745" spans="14:15" x14ac:dyDescent="0.45">
      <c r="N745">
        <v>744</v>
      </c>
      <c r="O745">
        <v>1548021.7675226647</v>
      </c>
    </row>
    <row r="746" spans="14:15" x14ac:dyDescent="0.45">
      <c r="N746">
        <v>745</v>
      </c>
      <c r="O746">
        <v>1566070.8305444249</v>
      </c>
    </row>
    <row r="747" spans="14:15" x14ac:dyDescent="0.45">
      <c r="N747">
        <v>746</v>
      </c>
      <c r="O747">
        <v>1561142.8197127916</v>
      </c>
    </row>
    <row r="748" spans="14:15" x14ac:dyDescent="0.45">
      <c r="N748">
        <v>747</v>
      </c>
      <c r="O748">
        <v>1493074.788881649</v>
      </c>
    </row>
    <row r="749" spans="14:15" x14ac:dyDescent="0.45">
      <c r="N749">
        <v>748</v>
      </c>
      <c r="O749">
        <v>1612836.6611979844</v>
      </c>
    </row>
    <row r="750" spans="14:15" x14ac:dyDescent="0.45">
      <c r="N750">
        <v>749</v>
      </c>
      <c r="O750">
        <v>1567135.2940013253</v>
      </c>
    </row>
    <row r="751" spans="14:15" x14ac:dyDescent="0.45">
      <c r="N751">
        <v>750</v>
      </c>
      <c r="O751">
        <v>1524147.373286952</v>
      </c>
    </row>
    <row r="752" spans="14:15" x14ac:dyDescent="0.45">
      <c r="N752">
        <v>751</v>
      </c>
      <c r="O752">
        <v>1507754.6400984002</v>
      </c>
    </row>
    <row r="753" spans="14:15" x14ac:dyDescent="0.45">
      <c r="N753">
        <v>752</v>
      </c>
      <c r="O753">
        <v>1512866.5151529803</v>
      </c>
    </row>
    <row r="754" spans="14:15" x14ac:dyDescent="0.45">
      <c r="N754">
        <v>753</v>
      </c>
      <c r="O754">
        <v>1561196.9005692767</v>
      </c>
    </row>
    <row r="755" spans="14:15" x14ac:dyDescent="0.45">
      <c r="N755">
        <v>754</v>
      </c>
      <c r="O755">
        <v>1528539.6983270841</v>
      </c>
    </row>
    <row r="756" spans="14:15" x14ac:dyDescent="0.45">
      <c r="N756">
        <v>755</v>
      </c>
      <c r="O756">
        <v>1529104.5402479309</v>
      </c>
    </row>
    <row r="757" spans="14:15" x14ac:dyDescent="0.45">
      <c r="N757">
        <v>756</v>
      </c>
      <c r="O757">
        <v>1578722.9724164391</v>
      </c>
    </row>
    <row r="758" spans="14:15" x14ac:dyDescent="0.45">
      <c r="N758">
        <v>757</v>
      </c>
      <c r="O758">
        <v>1521882.0568927019</v>
      </c>
    </row>
    <row r="759" spans="14:15" x14ac:dyDescent="0.45">
      <c r="N759">
        <v>758</v>
      </c>
      <c r="O759">
        <v>1554028.0411614859</v>
      </c>
    </row>
    <row r="760" spans="14:15" x14ac:dyDescent="0.45">
      <c r="N760">
        <v>759</v>
      </c>
      <c r="O760">
        <v>1516263.5827989634</v>
      </c>
    </row>
    <row r="761" spans="14:15" x14ac:dyDescent="0.45">
      <c r="N761">
        <v>760</v>
      </c>
      <c r="O761">
        <v>1525948.9391180892</v>
      </c>
    </row>
    <row r="762" spans="14:15" x14ac:dyDescent="0.45">
      <c r="N762">
        <v>761</v>
      </c>
      <c r="O762">
        <v>1548297.6132220568</v>
      </c>
    </row>
    <row r="763" spans="14:15" x14ac:dyDescent="0.45">
      <c r="N763">
        <v>762</v>
      </c>
      <c r="O763">
        <v>1545647.1434680771</v>
      </c>
    </row>
    <row r="764" spans="14:15" x14ac:dyDescent="0.45">
      <c r="N764">
        <v>763</v>
      </c>
      <c r="O764">
        <v>1516760.9964330369</v>
      </c>
    </row>
    <row r="765" spans="14:15" x14ac:dyDescent="0.45">
      <c r="N765">
        <v>764</v>
      </c>
      <c r="O765">
        <v>1517890.2741889199</v>
      </c>
    </row>
    <row r="766" spans="14:15" x14ac:dyDescent="0.45">
      <c r="N766">
        <v>765</v>
      </c>
      <c r="O766">
        <v>1575669.9222106689</v>
      </c>
    </row>
    <row r="767" spans="14:15" x14ac:dyDescent="0.45">
      <c r="N767">
        <v>766</v>
      </c>
      <c r="O767">
        <v>1549298.8858987181</v>
      </c>
    </row>
    <row r="768" spans="14:15" x14ac:dyDescent="0.45">
      <c r="N768">
        <v>767</v>
      </c>
      <c r="O768">
        <v>1598054.5881404199</v>
      </c>
    </row>
    <row r="769" spans="14:15" x14ac:dyDescent="0.45">
      <c r="N769">
        <v>768</v>
      </c>
      <c r="O769">
        <v>1504205.5718558899</v>
      </c>
    </row>
    <row r="770" spans="14:15" x14ac:dyDescent="0.45">
      <c r="N770">
        <v>769</v>
      </c>
      <c r="O770">
        <v>1496106.5343230926</v>
      </c>
    </row>
    <row r="771" spans="14:15" x14ac:dyDescent="0.45">
      <c r="N771">
        <v>770</v>
      </c>
      <c r="O771">
        <v>1563922.0178349453</v>
      </c>
    </row>
    <row r="772" spans="14:15" x14ac:dyDescent="0.45">
      <c r="N772">
        <v>771</v>
      </c>
      <c r="O772">
        <v>1558746.4288623061</v>
      </c>
    </row>
    <row r="773" spans="14:15" x14ac:dyDescent="0.45">
      <c r="N773">
        <v>772</v>
      </c>
      <c r="O773">
        <v>1608652.2101494297</v>
      </c>
    </row>
    <row r="774" spans="14:15" x14ac:dyDescent="0.45">
      <c r="N774">
        <v>773</v>
      </c>
      <c r="O774">
        <v>1595329.7333357062</v>
      </c>
    </row>
    <row r="775" spans="14:15" x14ac:dyDescent="0.45">
      <c r="N775">
        <v>774</v>
      </c>
      <c r="O775">
        <v>1572551.1307348087</v>
      </c>
    </row>
    <row r="776" spans="14:15" x14ac:dyDescent="0.45">
      <c r="N776">
        <v>775</v>
      </c>
      <c r="O776">
        <v>1452438.1175401567</v>
      </c>
    </row>
    <row r="777" spans="14:15" x14ac:dyDescent="0.45">
      <c r="N777">
        <v>776</v>
      </c>
      <c r="O777">
        <v>1563677.208061266</v>
      </c>
    </row>
    <row r="778" spans="14:15" x14ac:dyDescent="0.45">
      <c r="N778">
        <v>777</v>
      </c>
      <c r="O778">
        <v>1538571.6533155127</v>
      </c>
    </row>
    <row r="779" spans="14:15" x14ac:dyDescent="0.45">
      <c r="N779">
        <v>778</v>
      </c>
      <c r="O779">
        <v>1514660.5092060911</v>
      </c>
    </row>
    <row r="780" spans="14:15" x14ac:dyDescent="0.45">
      <c r="N780">
        <v>779</v>
      </c>
      <c r="O780">
        <v>1545591.1615405392</v>
      </c>
    </row>
    <row r="781" spans="14:15" x14ac:dyDescent="0.45">
      <c r="N781">
        <v>780</v>
      </c>
      <c r="O781">
        <v>1499159.9764283632</v>
      </c>
    </row>
    <row r="782" spans="14:15" x14ac:dyDescent="0.45">
      <c r="N782">
        <v>781</v>
      </c>
      <c r="O782">
        <v>1542435.4026648046</v>
      </c>
    </row>
    <row r="783" spans="14:15" x14ac:dyDescent="0.45">
      <c r="N783">
        <v>782</v>
      </c>
      <c r="O783">
        <v>1558350.9053568058</v>
      </c>
    </row>
    <row r="784" spans="14:15" x14ac:dyDescent="0.45">
      <c r="N784">
        <v>783</v>
      </c>
      <c r="O784">
        <v>1503093.700437445</v>
      </c>
    </row>
    <row r="785" spans="14:15" x14ac:dyDescent="0.45">
      <c r="N785">
        <v>784</v>
      </c>
      <c r="O785">
        <v>1512886.5915402072</v>
      </c>
    </row>
    <row r="786" spans="14:15" x14ac:dyDescent="0.45">
      <c r="N786">
        <v>785</v>
      </c>
      <c r="O786">
        <v>1516000.3223527614</v>
      </c>
    </row>
    <row r="787" spans="14:15" x14ac:dyDescent="0.45">
      <c r="N787">
        <v>786</v>
      </c>
      <c r="O787">
        <v>1558826.4456799116</v>
      </c>
    </row>
    <row r="788" spans="14:15" x14ac:dyDescent="0.45">
      <c r="N788">
        <v>787</v>
      </c>
      <c r="O788">
        <v>1601992.1908976356</v>
      </c>
    </row>
    <row r="789" spans="14:15" x14ac:dyDescent="0.45">
      <c r="N789">
        <v>788</v>
      </c>
      <c r="O789">
        <v>1544794.9647305089</v>
      </c>
    </row>
    <row r="790" spans="14:15" x14ac:dyDescent="0.45">
      <c r="N790">
        <v>789</v>
      </c>
      <c r="O790">
        <v>1553263.5330694504</v>
      </c>
    </row>
    <row r="791" spans="14:15" x14ac:dyDescent="0.45">
      <c r="N791">
        <v>790</v>
      </c>
      <c r="O791">
        <v>1596864.9231736183</v>
      </c>
    </row>
    <row r="792" spans="14:15" x14ac:dyDescent="0.45">
      <c r="N792">
        <v>791</v>
      </c>
      <c r="O792">
        <v>1582843.7405055177</v>
      </c>
    </row>
    <row r="793" spans="14:15" x14ac:dyDescent="0.45">
      <c r="N793">
        <v>792</v>
      </c>
      <c r="O793">
        <v>1530204.3122410616</v>
      </c>
    </row>
    <row r="794" spans="14:15" x14ac:dyDescent="0.45">
      <c r="N794">
        <v>793</v>
      </c>
      <c r="O794">
        <v>1532745.8893536348</v>
      </c>
    </row>
    <row r="795" spans="14:15" x14ac:dyDescent="0.45">
      <c r="N795">
        <v>794</v>
      </c>
      <c r="O795">
        <v>1543206.4778661733</v>
      </c>
    </row>
    <row r="796" spans="14:15" x14ac:dyDescent="0.45">
      <c r="N796">
        <v>795</v>
      </c>
      <c r="O796">
        <v>1545360.7039446903</v>
      </c>
    </row>
    <row r="797" spans="14:15" x14ac:dyDescent="0.45">
      <c r="N797">
        <v>796</v>
      </c>
      <c r="O797">
        <v>1608835.5797401308</v>
      </c>
    </row>
    <row r="798" spans="14:15" x14ac:dyDescent="0.45">
      <c r="N798">
        <v>797</v>
      </c>
      <c r="O798">
        <v>1549308.2021017512</v>
      </c>
    </row>
    <row r="799" spans="14:15" x14ac:dyDescent="0.45">
      <c r="N799">
        <v>798</v>
      </c>
      <c r="O799">
        <v>1579430.9299001899</v>
      </c>
    </row>
    <row r="800" spans="14:15" x14ac:dyDescent="0.45">
      <c r="N800">
        <v>799</v>
      </c>
      <c r="O800">
        <v>1536000.7132680549</v>
      </c>
    </row>
    <row r="801" spans="14:15" x14ac:dyDescent="0.45">
      <c r="N801">
        <v>800</v>
      </c>
      <c r="O801">
        <v>1547491.3090119613</v>
      </c>
    </row>
    <row r="802" spans="14:15" x14ac:dyDescent="0.45">
      <c r="N802">
        <v>801</v>
      </c>
      <c r="O802">
        <v>1533301.2280728184</v>
      </c>
    </row>
    <row r="803" spans="14:15" x14ac:dyDescent="0.45">
      <c r="N803">
        <v>802</v>
      </c>
      <c r="O803">
        <v>1491086.6722220229</v>
      </c>
    </row>
    <row r="804" spans="14:15" x14ac:dyDescent="0.45">
      <c r="N804">
        <v>803</v>
      </c>
      <c r="O804">
        <v>1642787.2753977834</v>
      </c>
    </row>
    <row r="805" spans="14:15" x14ac:dyDescent="0.45">
      <c r="N805">
        <v>804</v>
      </c>
      <c r="O805">
        <v>1613072.7034774153</v>
      </c>
    </row>
    <row r="806" spans="14:15" x14ac:dyDescent="0.45">
      <c r="N806">
        <v>805</v>
      </c>
      <c r="O806">
        <v>1494206.7574791117</v>
      </c>
    </row>
    <row r="807" spans="14:15" x14ac:dyDescent="0.45">
      <c r="N807">
        <v>806</v>
      </c>
      <c r="O807">
        <v>1539501.1059990788</v>
      </c>
    </row>
    <row r="808" spans="14:15" x14ac:dyDescent="0.45">
      <c r="N808">
        <v>807</v>
      </c>
      <c r="O808">
        <v>1564978.6243063568</v>
      </c>
    </row>
    <row r="809" spans="14:15" x14ac:dyDescent="0.45">
      <c r="N809">
        <v>808</v>
      </c>
      <c r="O809">
        <v>1617609.5160412053</v>
      </c>
    </row>
    <row r="810" spans="14:15" x14ac:dyDescent="0.45">
      <c r="N810">
        <v>809</v>
      </c>
      <c r="O810">
        <v>1579127.0173142704</v>
      </c>
    </row>
    <row r="811" spans="14:15" x14ac:dyDescent="0.45">
      <c r="N811">
        <v>810</v>
      </c>
      <c r="O811">
        <v>1564499.9537743668</v>
      </c>
    </row>
    <row r="812" spans="14:15" x14ac:dyDescent="0.45">
      <c r="N812">
        <v>811</v>
      </c>
      <c r="O812">
        <v>1491955.8798506858</v>
      </c>
    </row>
    <row r="813" spans="14:15" x14ac:dyDescent="0.45">
      <c r="N813">
        <v>812</v>
      </c>
      <c r="O813">
        <v>1513675.9362511374</v>
      </c>
    </row>
    <row r="814" spans="14:15" x14ac:dyDescent="0.45">
      <c r="N814">
        <v>813</v>
      </c>
      <c r="O814">
        <v>1530775.3404143383</v>
      </c>
    </row>
    <row r="815" spans="14:15" x14ac:dyDescent="0.45">
      <c r="N815">
        <v>814</v>
      </c>
      <c r="O815">
        <v>1569498.6636810801</v>
      </c>
    </row>
    <row r="816" spans="14:15" x14ac:dyDescent="0.45">
      <c r="N816">
        <v>815</v>
      </c>
      <c r="O816">
        <v>1529884.0294499844</v>
      </c>
    </row>
    <row r="817" spans="14:15" x14ac:dyDescent="0.45">
      <c r="N817">
        <v>816</v>
      </c>
      <c r="O817">
        <v>1602933.111804632</v>
      </c>
    </row>
    <row r="818" spans="14:15" x14ac:dyDescent="0.45">
      <c r="N818">
        <v>817</v>
      </c>
      <c r="O818">
        <v>1502286.3097633256</v>
      </c>
    </row>
    <row r="819" spans="14:15" x14ac:dyDescent="0.45">
      <c r="N819">
        <v>818</v>
      </c>
      <c r="O819">
        <v>1533796.7597117685</v>
      </c>
    </row>
    <row r="820" spans="14:15" x14ac:dyDescent="0.45">
      <c r="N820">
        <v>819</v>
      </c>
      <c r="O820">
        <v>1564964.0954638028</v>
      </c>
    </row>
    <row r="821" spans="14:15" x14ac:dyDescent="0.45">
      <c r="N821">
        <v>820</v>
      </c>
      <c r="O821">
        <v>1534243.4349049556</v>
      </c>
    </row>
    <row r="822" spans="14:15" x14ac:dyDescent="0.45">
      <c r="N822">
        <v>821</v>
      </c>
      <c r="O822">
        <v>1518126.5987124187</v>
      </c>
    </row>
    <row r="823" spans="14:15" x14ac:dyDescent="0.45">
      <c r="N823">
        <v>822</v>
      </c>
      <c r="O823">
        <v>1551280.1854446563</v>
      </c>
    </row>
    <row r="824" spans="14:15" x14ac:dyDescent="0.45">
      <c r="N824">
        <v>823</v>
      </c>
      <c r="O824">
        <v>1554103.633780604</v>
      </c>
    </row>
    <row r="825" spans="14:15" x14ac:dyDescent="0.45">
      <c r="N825">
        <v>824</v>
      </c>
      <c r="O825">
        <v>1600276.4147766037</v>
      </c>
    </row>
    <row r="826" spans="14:15" x14ac:dyDescent="0.45">
      <c r="N826">
        <v>825</v>
      </c>
      <c r="O826">
        <v>1543911.681835033</v>
      </c>
    </row>
    <row r="827" spans="14:15" x14ac:dyDescent="0.45">
      <c r="N827">
        <v>826</v>
      </c>
      <c r="O827">
        <v>1581610.2148896621</v>
      </c>
    </row>
    <row r="828" spans="14:15" x14ac:dyDescent="0.45">
      <c r="N828">
        <v>827</v>
      </c>
      <c r="O828">
        <v>1572514.4411332316</v>
      </c>
    </row>
    <row r="829" spans="14:15" x14ac:dyDescent="0.45">
      <c r="N829">
        <v>828</v>
      </c>
      <c r="O829">
        <v>1544161.0494157472</v>
      </c>
    </row>
    <row r="830" spans="14:15" x14ac:dyDescent="0.45">
      <c r="N830">
        <v>829</v>
      </c>
      <c r="O830">
        <v>1481070.1654716644</v>
      </c>
    </row>
    <row r="831" spans="14:15" x14ac:dyDescent="0.45">
      <c r="N831">
        <v>830</v>
      </c>
      <c r="O831">
        <v>1518666.2348167496</v>
      </c>
    </row>
    <row r="832" spans="14:15" x14ac:dyDescent="0.45">
      <c r="N832">
        <v>831</v>
      </c>
      <c r="O832">
        <v>1576354.0427910017</v>
      </c>
    </row>
    <row r="833" spans="14:15" x14ac:dyDescent="0.45">
      <c r="N833">
        <v>832</v>
      </c>
      <c r="O833">
        <v>1530863.8124055101</v>
      </c>
    </row>
    <row r="834" spans="14:15" x14ac:dyDescent="0.45">
      <c r="N834">
        <v>833</v>
      </c>
      <c r="O834">
        <v>1595396.4437472671</v>
      </c>
    </row>
    <row r="835" spans="14:15" x14ac:dyDescent="0.45">
      <c r="N835">
        <v>834</v>
      </c>
      <c r="O835">
        <v>1560079.6716711314</v>
      </c>
    </row>
    <row r="836" spans="14:15" x14ac:dyDescent="0.45">
      <c r="N836">
        <v>835</v>
      </c>
      <c r="O836">
        <v>1513635.504226428</v>
      </c>
    </row>
    <row r="837" spans="14:15" x14ac:dyDescent="0.45">
      <c r="N837">
        <v>836</v>
      </c>
      <c r="O837">
        <v>1585463.9606964213</v>
      </c>
    </row>
    <row r="838" spans="14:15" x14ac:dyDescent="0.45">
      <c r="N838">
        <v>837</v>
      </c>
      <c r="O838">
        <v>1531971.9978107281</v>
      </c>
    </row>
    <row r="839" spans="14:15" x14ac:dyDescent="0.45">
      <c r="N839">
        <v>838</v>
      </c>
      <c r="O839">
        <v>1540172.8712485309</v>
      </c>
    </row>
    <row r="840" spans="14:15" x14ac:dyDescent="0.45">
      <c r="N840">
        <v>839</v>
      </c>
      <c r="O840">
        <v>1545290.47501955</v>
      </c>
    </row>
    <row r="841" spans="14:15" x14ac:dyDescent="0.45">
      <c r="N841">
        <v>840</v>
      </c>
      <c r="O841">
        <v>1578778.0750944591</v>
      </c>
    </row>
    <row r="842" spans="14:15" x14ac:dyDescent="0.45">
      <c r="N842">
        <v>841</v>
      </c>
      <c r="O842">
        <v>1527774.4642712525</v>
      </c>
    </row>
    <row r="843" spans="14:15" x14ac:dyDescent="0.45">
      <c r="N843">
        <v>842</v>
      </c>
      <c r="O843">
        <v>1579421.5619695759</v>
      </c>
    </row>
    <row r="844" spans="14:15" x14ac:dyDescent="0.45">
      <c r="N844">
        <v>843</v>
      </c>
      <c r="O844">
        <v>1532933.7537419121</v>
      </c>
    </row>
    <row r="845" spans="14:15" x14ac:dyDescent="0.45">
      <c r="N845">
        <v>844</v>
      </c>
      <c r="O845">
        <v>1553256.5175154635</v>
      </c>
    </row>
    <row r="846" spans="14:15" x14ac:dyDescent="0.45">
      <c r="N846">
        <v>845</v>
      </c>
      <c r="O846">
        <v>1556265.8121986578</v>
      </c>
    </row>
    <row r="847" spans="14:15" x14ac:dyDescent="0.45">
      <c r="N847">
        <v>846</v>
      </c>
      <c r="O847">
        <v>1545741.237000729</v>
      </c>
    </row>
    <row r="848" spans="14:15" x14ac:dyDescent="0.45">
      <c r="N848">
        <v>847</v>
      </c>
      <c r="O848">
        <v>1543244.8144229609</v>
      </c>
    </row>
    <row r="849" spans="14:15" x14ac:dyDescent="0.45">
      <c r="N849">
        <v>848</v>
      </c>
      <c r="O849">
        <v>1602779.0943919111</v>
      </c>
    </row>
    <row r="850" spans="14:15" x14ac:dyDescent="0.45">
      <c r="N850">
        <v>849</v>
      </c>
      <c r="O850">
        <v>1585268.9839121643</v>
      </c>
    </row>
    <row r="851" spans="14:15" x14ac:dyDescent="0.45">
      <c r="N851">
        <v>850</v>
      </c>
      <c r="O851">
        <v>1513017.1791992499</v>
      </c>
    </row>
    <row r="852" spans="14:15" x14ac:dyDescent="0.45">
      <c r="N852">
        <v>851</v>
      </c>
      <c r="O852">
        <v>1549288.9945478253</v>
      </c>
    </row>
    <row r="853" spans="14:15" x14ac:dyDescent="0.45">
      <c r="N853">
        <v>852</v>
      </c>
      <c r="O853">
        <v>1554699.7146085843</v>
      </c>
    </row>
    <row r="854" spans="14:15" x14ac:dyDescent="0.45">
      <c r="N854">
        <v>853</v>
      </c>
      <c r="O854">
        <v>1518016.7702661115</v>
      </c>
    </row>
    <row r="855" spans="14:15" x14ac:dyDescent="0.45">
      <c r="N855">
        <v>854</v>
      </c>
      <c r="O855">
        <v>1563607.3703892685</v>
      </c>
    </row>
    <row r="856" spans="14:15" x14ac:dyDescent="0.45">
      <c r="N856">
        <v>855</v>
      </c>
      <c r="O856">
        <v>1563790.8294123593</v>
      </c>
    </row>
    <row r="857" spans="14:15" x14ac:dyDescent="0.45">
      <c r="N857">
        <v>856</v>
      </c>
      <c r="O857">
        <v>1484952.9613498496</v>
      </c>
    </row>
    <row r="858" spans="14:15" x14ac:dyDescent="0.45">
      <c r="N858">
        <v>857</v>
      </c>
      <c r="O858">
        <v>1590848.1981906644</v>
      </c>
    </row>
    <row r="859" spans="14:15" x14ac:dyDescent="0.45">
      <c r="N859">
        <v>858</v>
      </c>
      <c r="O859">
        <v>1539000.0674109885</v>
      </c>
    </row>
    <row r="860" spans="14:15" x14ac:dyDescent="0.45">
      <c r="N860">
        <v>859</v>
      </c>
      <c r="O860">
        <v>1631156.0256094926</v>
      </c>
    </row>
    <row r="861" spans="14:15" x14ac:dyDescent="0.45">
      <c r="N861">
        <v>860</v>
      </c>
      <c r="O861">
        <v>1568551.9097883403</v>
      </c>
    </row>
    <row r="862" spans="14:15" x14ac:dyDescent="0.45">
      <c r="N862">
        <v>861</v>
      </c>
      <c r="O862">
        <v>1482436.070931355</v>
      </c>
    </row>
    <row r="863" spans="14:15" x14ac:dyDescent="0.45">
      <c r="N863">
        <v>862</v>
      </c>
      <c r="O863">
        <v>1559739.1358444851</v>
      </c>
    </row>
    <row r="864" spans="14:15" x14ac:dyDescent="0.45">
      <c r="N864">
        <v>863</v>
      </c>
      <c r="O864">
        <v>1563870.5628388932</v>
      </c>
    </row>
    <row r="865" spans="14:15" x14ac:dyDescent="0.45">
      <c r="N865">
        <v>864</v>
      </c>
      <c r="O865">
        <v>1595167.9138400692</v>
      </c>
    </row>
    <row r="866" spans="14:15" x14ac:dyDescent="0.45">
      <c r="N866">
        <v>865</v>
      </c>
      <c r="O866">
        <v>1543290.5998684873</v>
      </c>
    </row>
    <row r="867" spans="14:15" x14ac:dyDescent="0.45">
      <c r="N867">
        <v>866</v>
      </c>
      <c r="O867">
        <v>1527063.8504803237</v>
      </c>
    </row>
    <row r="868" spans="14:15" x14ac:dyDescent="0.45">
      <c r="N868">
        <v>867</v>
      </c>
      <c r="O868">
        <v>1541757.9710968193</v>
      </c>
    </row>
    <row r="869" spans="14:15" x14ac:dyDescent="0.45">
      <c r="N869">
        <v>868</v>
      </c>
      <c r="O869">
        <v>1540885.3564213484</v>
      </c>
    </row>
    <row r="870" spans="14:15" x14ac:dyDescent="0.45">
      <c r="N870">
        <v>869</v>
      </c>
      <c r="O870">
        <v>1529850.4640829912</v>
      </c>
    </row>
    <row r="871" spans="14:15" x14ac:dyDescent="0.45">
      <c r="N871">
        <v>870</v>
      </c>
      <c r="O871">
        <v>1544091.4194153114</v>
      </c>
    </row>
    <row r="872" spans="14:15" x14ac:dyDescent="0.45">
      <c r="N872">
        <v>871</v>
      </c>
      <c r="O872">
        <v>1553408.0787464031</v>
      </c>
    </row>
    <row r="873" spans="14:15" x14ac:dyDescent="0.45">
      <c r="N873">
        <v>872</v>
      </c>
      <c r="O873">
        <v>1563140.2983894916</v>
      </c>
    </row>
    <row r="874" spans="14:15" x14ac:dyDescent="0.45">
      <c r="N874">
        <v>873</v>
      </c>
      <c r="O874">
        <v>1567680.3563143851</v>
      </c>
    </row>
    <row r="875" spans="14:15" x14ac:dyDescent="0.45">
      <c r="N875">
        <v>874</v>
      </c>
      <c r="O875">
        <v>1550594.0649454864</v>
      </c>
    </row>
    <row r="876" spans="14:15" x14ac:dyDescent="0.45">
      <c r="N876">
        <v>875</v>
      </c>
      <c r="O876">
        <v>1574664.9194951749</v>
      </c>
    </row>
    <row r="877" spans="14:15" x14ac:dyDescent="0.45">
      <c r="N877">
        <v>876</v>
      </c>
      <c r="O877">
        <v>1538820.5075326639</v>
      </c>
    </row>
    <row r="878" spans="14:15" x14ac:dyDescent="0.45">
      <c r="N878">
        <v>877</v>
      </c>
      <c r="O878">
        <v>1602805.9748017599</v>
      </c>
    </row>
    <row r="879" spans="14:15" x14ac:dyDescent="0.45">
      <c r="N879">
        <v>878</v>
      </c>
      <c r="O879">
        <v>1507951.6479109109</v>
      </c>
    </row>
    <row r="880" spans="14:15" x14ac:dyDescent="0.45">
      <c r="N880">
        <v>879</v>
      </c>
      <c r="O880">
        <v>1539771.9725595419</v>
      </c>
    </row>
    <row r="881" spans="14:15" x14ac:dyDescent="0.45">
      <c r="N881">
        <v>880</v>
      </c>
      <c r="O881">
        <v>1578522.4143667056</v>
      </c>
    </row>
    <row r="882" spans="14:15" x14ac:dyDescent="0.45">
      <c r="N882">
        <v>881</v>
      </c>
      <c r="O882">
        <v>1516791.701786845</v>
      </c>
    </row>
    <row r="883" spans="14:15" x14ac:dyDescent="0.45">
      <c r="N883">
        <v>882</v>
      </c>
      <c r="O883">
        <v>1557755.5296910689</v>
      </c>
    </row>
    <row r="884" spans="14:15" x14ac:dyDescent="0.45">
      <c r="N884">
        <v>883</v>
      </c>
      <c r="O884">
        <v>1532388.4143396663</v>
      </c>
    </row>
    <row r="885" spans="14:15" x14ac:dyDescent="0.45">
      <c r="N885">
        <v>884</v>
      </c>
      <c r="O885">
        <v>1489821.2194223821</v>
      </c>
    </row>
    <row r="886" spans="14:15" x14ac:dyDescent="0.45">
      <c r="N886">
        <v>885</v>
      </c>
      <c r="O886">
        <v>1509058.4629529361</v>
      </c>
    </row>
    <row r="887" spans="14:15" x14ac:dyDescent="0.45">
      <c r="N887">
        <v>886</v>
      </c>
      <c r="O887">
        <v>1538857.8549625683</v>
      </c>
    </row>
    <row r="888" spans="14:15" x14ac:dyDescent="0.45">
      <c r="N888">
        <v>887</v>
      </c>
      <c r="O888">
        <v>1540448.9475330291</v>
      </c>
    </row>
    <row r="889" spans="14:15" x14ac:dyDescent="0.45">
      <c r="N889">
        <v>888</v>
      </c>
      <c r="O889">
        <v>1517288.9097868023</v>
      </c>
    </row>
    <row r="890" spans="14:15" x14ac:dyDescent="0.45">
      <c r="N890">
        <v>889</v>
      </c>
      <c r="O890">
        <v>1464104.9683113564</v>
      </c>
    </row>
    <row r="891" spans="14:15" x14ac:dyDescent="0.45">
      <c r="N891">
        <v>890</v>
      </c>
      <c r="O891">
        <v>1517104.4966597967</v>
      </c>
    </row>
    <row r="892" spans="14:15" x14ac:dyDescent="0.45">
      <c r="N892">
        <v>891</v>
      </c>
      <c r="O892">
        <v>1549881.355136645</v>
      </c>
    </row>
    <row r="893" spans="14:15" x14ac:dyDescent="0.45">
      <c r="N893">
        <v>892</v>
      </c>
      <c r="O893">
        <v>1494198.0860656863</v>
      </c>
    </row>
    <row r="894" spans="14:15" x14ac:dyDescent="0.45">
      <c r="N894">
        <v>893</v>
      </c>
      <c r="O894">
        <v>1581011.9021539236</v>
      </c>
    </row>
    <row r="895" spans="14:15" x14ac:dyDescent="0.45">
      <c r="N895">
        <v>894</v>
      </c>
      <c r="O895">
        <v>1524730.7767154749</v>
      </c>
    </row>
    <row r="896" spans="14:15" x14ac:dyDescent="0.45">
      <c r="N896">
        <v>895</v>
      </c>
      <c r="O896">
        <v>1518811.045636341</v>
      </c>
    </row>
    <row r="897" spans="14:15" x14ac:dyDescent="0.45">
      <c r="N897">
        <v>896</v>
      </c>
      <c r="O897">
        <v>1535939.7510809647</v>
      </c>
    </row>
    <row r="898" spans="14:15" x14ac:dyDescent="0.45">
      <c r="N898">
        <v>897</v>
      </c>
      <c r="O898">
        <v>1499452.8148816281</v>
      </c>
    </row>
    <row r="899" spans="14:15" x14ac:dyDescent="0.45">
      <c r="N899">
        <v>898</v>
      </c>
      <c r="O899">
        <v>1569097.6136466668</v>
      </c>
    </row>
    <row r="900" spans="14:15" x14ac:dyDescent="0.45">
      <c r="N900">
        <v>899</v>
      </c>
      <c r="O900">
        <v>1583738.4540117111</v>
      </c>
    </row>
    <row r="901" spans="14:15" x14ac:dyDescent="0.45">
      <c r="N901">
        <v>900</v>
      </c>
      <c r="O901">
        <v>1545224.5643965323</v>
      </c>
    </row>
    <row r="902" spans="14:15" x14ac:dyDescent="0.45">
      <c r="N902">
        <v>901</v>
      </c>
      <c r="O902">
        <v>1586611.6809251634</v>
      </c>
    </row>
    <row r="903" spans="14:15" x14ac:dyDescent="0.45">
      <c r="N903">
        <v>902</v>
      </c>
      <c r="O903">
        <v>1555028.2014741963</v>
      </c>
    </row>
    <row r="904" spans="14:15" x14ac:dyDescent="0.45">
      <c r="N904">
        <v>903</v>
      </c>
      <c r="O904">
        <v>1513886.7688247543</v>
      </c>
    </row>
    <row r="905" spans="14:15" x14ac:dyDescent="0.45">
      <c r="N905">
        <v>904</v>
      </c>
      <c r="O905">
        <v>1592831.4999429323</v>
      </c>
    </row>
    <row r="906" spans="14:15" x14ac:dyDescent="0.45">
      <c r="N906">
        <v>905</v>
      </c>
      <c r="O906">
        <v>1529563.7151022907</v>
      </c>
    </row>
    <row r="907" spans="14:15" x14ac:dyDescent="0.45">
      <c r="N907">
        <v>906</v>
      </c>
      <c r="O907">
        <v>1556632.217378991</v>
      </c>
    </row>
    <row r="908" spans="14:15" x14ac:dyDescent="0.45">
      <c r="N908">
        <v>907</v>
      </c>
      <c r="O908">
        <v>1636672.2420352255</v>
      </c>
    </row>
    <row r="909" spans="14:15" x14ac:dyDescent="0.45">
      <c r="N909">
        <v>908</v>
      </c>
      <c r="O909">
        <v>1509015.8667192892</v>
      </c>
    </row>
    <row r="910" spans="14:15" x14ac:dyDescent="0.45">
      <c r="N910">
        <v>909</v>
      </c>
      <c r="O910">
        <v>1570914.2279081494</v>
      </c>
    </row>
    <row r="911" spans="14:15" x14ac:dyDescent="0.45">
      <c r="N911">
        <v>910</v>
      </c>
      <c r="O911">
        <v>1554887.3317009709</v>
      </c>
    </row>
    <row r="912" spans="14:15" x14ac:dyDescent="0.45">
      <c r="N912">
        <v>911</v>
      </c>
      <c r="O912">
        <v>1518074.8577885721</v>
      </c>
    </row>
    <row r="913" spans="14:15" x14ac:dyDescent="0.45">
      <c r="N913">
        <v>912</v>
      </c>
      <c r="O913">
        <v>1618995.8299183124</v>
      </c>
    </row>
    <row r="914" spans="14:15" x14ac:dyDescent="0.45">
      <c r="N914">
        <v>913</v>
      </c>
      <c r="O914">
        <v>1533778.9258841567</v>
      </c>
    </row>
    <row r="915" spans="14:15" x14ac:dyDescent="0.45">
      <c r="N915">
        <v>914</v>
      </c>
      <c r="O915">
        <v>1529378.3008076781</v>
      </c>
    </row>
    <row r="916" spans="14:15" x14ac:dyDescent="0.45">
      <c r="N916">
        <v>915</v>
      </c>
      <c r="O916">
        <v>1547858.3037622694</v>
      </c>
    </row>
    <row r="917" spans="14:15" x14ac:dyDescent="0.45">
      <c r="N917">
        <v>916</v>
      </c>
      <c r="O917">
        <v>1524965.0643971858</v>
      </c>
    </row>
    <row r="918" spans="14:15" x14ac:dyDescent="0.45">
      <c r="N918">
        <v>917</v>
      </c>
      <c r="O918">
        <v>1582313.9271421956</v>
      </c>
    </row>
    <row r="919" spans="14:15" x14ac:dyDescent="0.45">
      <c r="N919">
        <v>918</v>
      </c>
      <c r="O919">
        <v>1480941.5954491845</v>
      </c>
    </row>
    <row r="920" spans="14:15" x14ac:dyDescent="0.45">
      <c r="N920">
        <v>919</v>
      </c>
      <c r="O920">
        <v>1579528.5467265064</v>
      </c>
    </row>
    <row r="921" spans="14:15" x14ac:dyDescent="0.45">
      <c r="N921">
        <v>920</v>
      </c>
      <c r="O921">
        <v>1585465.0964643045</v>
      </c>
    </row>
    <row r="922" spans="14:15" x14ac:dyDescent="0.45">
      <c r="N922">
        <v>921</v>
      </c>
      <c r="O922">
        <v>1482975.114550502</v>
      </c>
    </row>
    <row r="923" spans="14:15" x14ac:dyDescent="0.45">
      <c r="N923">
        <v>922</v>
      </c>
      <c r="O923">
        <v>1475921.181597962</v>
      </c>
    </row>
    <row r="924" spans="14:15" x14ac:dyDescent="0.45">
      <c r="N924">
        <v>923</v>
      </c>
      <c r="O924">
        <v>1586062.7960388283</v>
      </c>
    </row>
    <row r="925" spans="14:15" x14ac:dyDescent="0.45">
      <c r="N925">
        <v>924</v>
      </c>
      <c r="O925">
        <v>1580320.8012949051</v>
      </c>
    </row>
    <row r="926" spans="14:15" x14ac:dyDescent="0.45">
      <c r="N926">
        <v>925</v>
      </c>
      <c r="O926">
        <v>1462136.564835818</v>
      </c>
    </row>
    <row r="927" spans="14:15" x14ac:dyDescent="0.45">
      <c r="N927">
        <v>926</v>
      </c>
      <c r="O927">
        <v>1580255.0790242809</v>
      </c>
    </row>
    <row r="928" spans="14:15" x14ac:dyDescent="0.45">
      <c r="N928">
        <v>927</v>
      </c>
      <c r="O928">
        <v>1520053.085361965</v>
      </c>
    </row>
    <row r="929" spans="14:15" x14ac:dyDescent="0.45">
      <c r="N929">
        <v>928</v>
      </c>
      <c r="O929">
        <v>1558422.4091562349</v>
      </c>
    </row>
    <row r="930" spans="14:15" x14ac:dyDescent="0.45">
      <c r="N930">
        <v>929</v>
      </c>
      <c r="O930">
        <v>1524305.3863794645</v>
      </c>
    </row>
    <row r="931" spans="14:15" x14ac:dyDescent="0.45">
      <c r="N931">
        <v>930</v>
      </c>
      <c r="O931">
        <v>1557783.3556938414</v>
      </c>
    </row>
    <row r="932" spans="14:15" x14ac:dyDescent="0.45">
      <c r="N932">
        <v>931</v>
      </c>
      <c r="O932">
        <v>1569529.4981302461</v>
      </c>
    </row>
    <row r="933" spans="14:15" x14ac:dyDescent="0.45">
      <c r="N933">
        <v>932</v>
      </c>
      <c r="O933">
        <v>1510901.707823124</v>
      </c>
    </row>
    <row r="934" spans="14:15" x14ac:dyDescent="0.45">
      <c r="N934">
        <v>933</v>
      </c>
      <c r="O934">
        <v>1515565.7862560251</v>
      </c>
    </row>
    <row r="935" spans="14:15" x14ac:dyDescent="0.45">
      <c r="N935">
        <v>934</v>
      </c>
      <c r="O935">
        <v>1545092.7108933551</v>
      </c>
    </row>
    <row r="936" spans="14:15" x14ac:dyDescent="0.45">
      <c r="N936">
        <v>935</v>
      </c>
      <c r="O936">
        <v>1574872.172507403</v>
      </c>
    </row>
    <row r="937" spans="14:15" x14ac:dyDescent="0.45">
      <c r="N937">
        <v>936</v>
      </c>
      <c r="O937">
        <v>1530381.9721026141</v>
      </c>
    </row>
    <row r="938" spans="14:15" x14ac:dyDescent="0.45">
      <c r="N938">
        <v>937</v>
      </c>
      <c r="O938">
        <v>1573699.4960620408</v>
      </c>
    </row>
    <row r="939" spans="14:15" x14ac:dyDescent="0.45">
      <c r="N939">
        <v>938</v>
      </c>
      <c r="O939">
        <v>1507426.3328785745</v>
      </c>
    </row>
    <row r="940" spans="14:15" x14ac:dyDescent="0.45">
      <c r="N940">
        <v>939</v>
      </c>
      <c r="O940">
        <v>1506275.4256018333</v>
      </c>
    </row>
    <row r="941" spans="14:15" x14ac:dyDescent="0.45">
      <c r="N941">
        <v>940</v>
      </c>
      <c r="O941">
        <v>1603714.6372174579</v>
      </c>
    </row>
    <row r="942" spans="14:15" x14ac:dyDescent="0.45">
      <c r="N942">
        <v>941</v>
      </c>
      <c r="O942">
        <v>1528067.2176868457</v>
      </c>
    </row>
    <row r="943" spans="14:15" x14ac:dyDescent="0.45">
      <c r="N943">
        <v>942</v>
      </c>
      <c r="O943">
        <v>1572648.8788922071</v>
      </c>
    </row>
    <row r="944" spans="14:15" x14ac:dyDescent="0.45">
      <c r="N944">
        <v>943</v>
      </c>
      <c r="O944">
        <v>1532572.0229302694</v>
      </c>
    </row>
    <row r="945" spans="14:15" x14ac:dyDescent="0.45">
      <c r="N945">
        <v>944</v>
      </c>
      <c r="O945">
        <v>1450528.3262105579</v>
      </c>
    </row>
    <row r="946" spans="14:15" x14ac:dyDescent="0.45">
      <c r="N946">
        <v>945</v>
      </c>
      <c r="O946">
        <v>1570031.3976841751</v>
      </c>
    </row>
    <row r="947" spans="14:15" x14ac:dyDescent="0.45">
      <c r="N947">
        <v>946</v>
      </c>
      <c r="O947">
        <v>1525177.4380971887</v>
      </c>
    </row>
    <row r="948" spans="14:15" x14ac:dyDescent="0.45">
      <c r="N948">
        <v>947</v>
      </c>
      <c r="O948">
        <v>1500942.5732806358</v>
      </c>
    </row>
    <row r="949" spans="14:15" x14ac:dyDescent="0.45">
      <c r="N949">
        <v>948</v>
      </c>
      <c r="O949">
        <v>1537132.0728759693</v>
      </c>
    </row>
    <row r="950" spans="14:15" x14ac:dyDescent="0.45">
      <c r="N950">
        <v>949</v>
      </c>
      <c r="O950">
        <v>1546940.0174489769</v>
      </c>
    </row>
    <row r="951" spans="14:15" x14ac:dyDescent="0.45">
      <c r="N951">
        <v>950</v>
      </c>
      <c r="O951">
        <v>1535848.7891493256</v>
      </c>
    </row>
    <row r="952" spans="14:15" x14ac:dyDescent="0.45">
      <c r="N952">
        <v>951</v>
      </c>
      <c r="O952">
        <v>1563922.9784735842</v>
      </c>
    </row>
    <row r="953" spans="14:15" x14ac:dyDescent="0.45">
      <c r="N953">
        <v>952</v>
      </c>
      <c r="O953">
        <v>1586309.3769018692</v>
      </c>
    </row>
    <row r="954" spans="14:15" x14ac:dyDescent="0.45">
      <c r="N954">
        <v>953</v>
      </c>
      <c r="O954">
        <v>1545662.3527466164</v>
      </c>
    </row>
    <row r="955" spans="14:15" x14ac:dyDescent="0.45">
      <c r="N955">
        <v>954</v>
      </c>
      <c r="O955">
        <v>1547014.2060125011</v>
      </c>
    </row>
    <row r="956" spans="14:15" x14ac:dyDescent="0.45">
      <c r="N956">
        <v>955</v>
      </c>
      <c r="O956">
        <v>1514899.7154696062</v>
      </c>
    </row>
    <row r="957" spans="14:15" x14ac:dyDescent="0.45">
      <c r="N957">
        <v>956</v>
      </c>
      <c r="O957">
        <v>1561753.6660432527</v>
      </c>
    </row>
    <row r="958" spans="14:15" x14ac:dyDescent="0.45">
      <c r="N958">
        <v>957</v>
      </c>
      <c r="O958">
        <v>1542232.4836389637</v>
      </c>
    </row>
    <row r="959" spans="14:15" x14ac:dyDescent="0.45">
      <c r="N959">
        <v>958</v>
      </c>
      <c r="O959">
        <v>1571306.8492941211</v>
      </c>
    </row>
    <row r="960" spans="14:15" x14ac:dyDescent="0.45">
      <c r="N960">
        <v>959</v>
      </c>
      <c r="O960">
        <v>1495842.9312914144</v>
      </c>
    </row>
    <row r="961" spans="14:15" x14ac:dyDescent="0.45">
      <c r="N961">
        <v>960</v>
      </c>
      <c r="O961">
        <v>1567571.0175484198</v>
      </c>
    </row>
    <row r="962" spans="14:15" x14ac:dyDescent="0.45">
      <c r="N962">
        <v>961</v>
      </c>
      <c r="O962">
        <v>1556595.4084515036</v>
      </c>
    </row>
    <row r="963" spans="14:15" x14ac:dyDescent="0.45">
      <c r="N963">
        <v>962</v>
      </c>
      <c r="O963">
        <v>1597249.560135121</v>
      </c>
    </row>
    <row r="964" spans="14:15" x14ac:dyDescent="0.45">
      <c r="N964">
        <v>963</v>
      </c>
      <c r="O964">
        <v>1499763.4543689303</v>
      </c>
    </row>
    <row r="965" spans="14:15" x14ac:dyDescent="0.45">
      <c r="N965">
        <v>964</v>
      </c>
      <c r="O965">
        <v>1561091.9330285848</v>
      </c>
    </row>
    <row r="966" spans="14:15" x14ac:dyDescent="0.45">
      <c r="N966">
        <v>965</v>
      </c>
      <c r="O966">
        <v>1501176.5806394091</v>
      </c>
    </row>
    <row r="967" spans="14:15" x14ac:dyDescent="0.45">
      <c r="N967">
        <v>966</v>
      </c>
      <c r="O967">
        <v>1556107.3851718814</v>
      </c>
    </row>
    <row r="968" spans="14:15" x14ac:dyDescent="0.45">
      <c r="N968">
        <v>967</v>
      </c>
      <c r="O968">
        <v>1590848.4261917137</v>
      </c>
    </row>
    <row r="969" spans="14:15" x14ac:dyDescent="0.45">
      <c r="N969">
        <v>968</v>
      </c>
      <c r="O969">
        <v>1490199.9765114239</v>
      </c>
    </row>
    <row r="970" spans="14:15" x14ac:dyDescent="0.45">
      <c r="N970">
        <v>969</v>
      </c>
      <c r="O970">
        <v>1530690.2123893239</v>
      </c>
    </row>
    <row r="971" spans="14:15" x14ac:dyDescent="0.45">
      <c r="N971">
        <v>970</v>
      </c>
      <c r="O971">
        <v>1509979.0928492385</v>
      </c>
    </row>
    <row r="972" spans="14:15" x14ac:dyDescent="0.45">
      <c r="N972">
        <v>971</v>
      </c>
      <c r="O972">
        <v>1476854.8737586909</v>
      </c>
    </row>
    <row r="973" spans="14:15" x14ac:dyDescent="0.45">
      <c r="N973">
        <v>972</v>
      </c>
      <c r="O973">
        <v>1483840.0590043534</v>
      </c>
    </row>
    <row r="974" spans="14:15" x14ac:dyDescent="0.45">
      <c r="N974">
        <v>973</v>
      </c>
      <c r="O974">
        <v>1482155.8027536951</v>
      </c>
    </row>
    <row r="975" spans="14:15" x14ac:dyDescent="0.45">
      <c r="N975">
        <v>974</v>
      </c>
      <c r="O975">
        <v>1563929.6502703952</v>
      </c>
    </row>
    <row r="976" spans="14:15" x14ac:dyDescent="0.45">
      <c r="N976">
        <v>975</v>
      </c>
      <c r="O976">
        <v>1471796.2112850852</v>
      </c>
    </row>
    <row r="977" spans="14:15" x14ac:dyDescent="0.45">
      <c r="N977">
        <v>976</v>
      </c>
      <c r="O977">
        <v>1548341.2802848166</v>
      </c>
    </row>
    <row r="978" spans="14:15" x14ac:dyDescent="0.45">
      <c r="N978">
        <v>977</v>
      </c>
      <c r="O978">
        <v>1551307.223858759</v>
      </c>
    </row>
    <row r="979" spans="14:15" x14ac:dyDescent="0.45">
      <c r="N979">
        <v>978</v>
      </c>
      <c r="O979">
        <v>1507905.0817676047</v>
      </c>
    </row>
    <row r="980" spans="14:15" x14ac:dyDescent="0.45">
      <c r="N980">
        <v>979</v>
      </c>
      <c r="O980">
        <v>1601591.1290759889</v>
      </c>
    </row>
    <row r="981" spans="14:15" x14ac:dyDescent="0.45">
      <c r="N981">
        <v>980</v>
      </c>
      <c r="O981">
        <v>1527877.6351507374</v>
      </c>
    </row>
    <row r="982" spans="14:15" x14ac:dyDescent="0.45">
      <c r="N982">
        <v>981</v>
      </c>
      <c r="O982">
        <v>1522483.1838967039</v>
      </c>
    </row>
    <row r="983" spans="14:15" x14ac:dyDescent="0.45">
      <c r="N983">
        <v>982</v>
      </c>
      <c r="O983">
        <v>1569753.8052614392</v>
      </c>
    </row>
    <row r="984" spans="14:15" x14ac:dyDescent="0.45">
      <c r="N984">
        <v>983</v>
      </c>
      <c r="O984">
        <v>1587669.5305538382</v>
      </c>
    </row>
    <row r="985" spans="14:15" x14ac:dyDescent="0.45">
      <c r="N985">
        <v>984</v>
      </c>
      <c r="O985">
        <v>1535863.7422256363</v>
      </c>
    </row>
    <row r="986" spans="14:15" x14ac:dyDescent="0.45">
      <c r="N986">
        <v>985</v>
      </c>
      <c r="O986">
        <v>1486922.5926688903</v>
      </c>
    </row>
    <row r="987" spans="14:15" x14ac:dyDescent="0.45">
      <c r="N987">
        <v>986</v>
      </c>
      <c r="O987">
        <v>1540788.771662731</v>
      </c>
    </row>
    <row r="988" spans="14:15" x14ac:dyDescent="0.45">
      <c r="N988">
        <v>987</v>
      </c>
      <c r="O988">
        <v>1515986.7419035898</v>
      </c>
    </row>
    <row r="989" spans="14:15" x14ac:dyDescent="0.45">
      <c r="N989">
        <v>988</v>
      </c>
      <c r="O989">
        <v>1540682.450023754</v>
      </c>
    </row>
    <row r="990" spans="14:15" x14ac:dyDescent="0.45">
      <c r="N990">
        <v>989</v>
      </c>
      <c r="O990">
        <v>1511418.6135768308</v>
      </c>
    </row>
    <row r="991" spans="14:15" x14ac:dyDescent="0.45">
      <c r="N991">
        <v>990</v>
      </c>
      <c r="O991">
        <v>1562186.0001434595</v>
      </c>
    </row>
    <row r="992" spans="14:15" x14ac:dyDescent="0.45">
      <c r="N992">
        <v>991</v>
      </c>
      <c r="O992">
        <v>1551697.7049934082</v>
      </c>
    </row>
    <row r="993" spans="14:15" x14ac:dyDescent="0.45">
      <c r="N993">
        <v>992</v>
      </c>
      <c r="O993">
        <v>1584030.6139220875</v>
      </c>
    </row>
    <row r="994" spans="14:15" x14ac:dyDescent="0.45">
      <c r="N994">
        <v>993</v>
      </c>
      <c r="O994">
        <v>1506013.787749572</v>
      </c>
    </row>
    <row r="995" spans="14:15" x14ac:dyDescent="0.45">
      <c r="N995">
        <v>994</v>
      </c>
      <c r="O995">
        <v>1485786.6592520308</v>
      </c>
    </row>
    <row r="996" spans="14:15" x14ac:dyDescent="0.45">
      <c r="N996">
        <v>995</v>
      </c>
      <c r="O996">
        <v>1548681.5289897474</v>
      </c>
    </row>
    <row r="997" spans="14:15" x14ac:dyDescent="0.45">
      <c r="N997">
        <v>996</v>
      </c>
      <c r="O997">
        <v>1566671.7573304486</v>
      </c>
    </row>
    <row r="998" spans="14:15" x14ac:dyDescent="0.45">
      <c r="N998">
        <v>997</v>
      </c>
      <c r="O998">
        <v>1470573.6934459552</v>
      </c>
    </row>
    <row r="999" spans="14:15" x14ac:dyDescent="0.45">
      <c r="N999">
        <v>998</v>
      </c>
      <c r="O999">
        <v>1582842.1060280884</v>
      </c>
    </row>
    <row r="1000" spans="14:15" x14ac:dyDescent="0.45">
      <c r="N1000">
        <v>999</v>
      </c>
      <c r="O1000">
        <v>1535156.9903262849</v>
      </c>
    </row>
    <row r="1001" spans="14:15" x14ac:dyDescent="0.45">
      <c r="N1001">
        <v>1000</v>
      </c>
      <c r="O1001">
        <v>1546404.0033884288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13170-103C-4A12-B3B3-74B8CD674FBF}">
  <dimension ref="A1:E17"/>
  <sheetViews>
    <sheetView showGridLines="0" workbookViewId="0">
      <selection activeCell="F10" sqref="F10"/>
    </sheetView>
  </sheetViews>
  <sheetFormatPr defaultRowHeight="14.25" x14ac:dyDescent="0.45"/>
  <cols>
    <col min="1" max="1" width="2.33203125" customWidth="1"/>
    <col min="2" max="2" width="6.1328125" bestFit="1" customWidth="1"/>
    <col min="3" max="3" width="30" bestFit="1" customWidth="1"/>
    <col min="4" max="4" width="11" bestFit="1" customWidth="1"/>
    <col min="5" max="5" width="12" bestFit="1" customWidth="1"/>
  </cols>
  <sheetData>
    <row r="1" spans="1:5" x14ac:dyDescent="0.45">
      <c r="A1" s="24" t="s">
        <v>71</v>
      </c>
    </row>
    <row r="2" spans="1:5" x14ac:dyDescent="0.45">
      <c r="A2" s="24" t="s">
        <v>93</v>
      </c>
    </row>
    <row r="3" spans="1:5" x14ac:dyDescent="0.45">
      <c r="A3" s="24" t="s">
        <v>95</v>
      </c>
    </row>
    <row r="6" spans="1:5" ht="14.65" thickBot="1" x14ac:dyDescent="0.5">
      <c r="A6" t="s">
        <v>73</v>
      </c>
    </row>
    <row r="7" spans="1:5" x14ac:dyDescent="0.45">
      <c r="B7" s="45"/>
      <c r="C7" s="45"/>
      <c r="D7" s="45" t="s">
        <v>76</v>
      </c>
      <c r="E7" s="45" t="s">
        <v>78</v>
      </c>
    </row>
    <row r="8" spans="1:5" ht="14.65" thickBot="1" x14ac:dyDescent="0.5">
      <c r="B8" s="46" t="s">
        <v>74</v>
      </c>
      <c r="C8" s="46" t="s">
        <v>75</v>
      </c>
      <c r="D8" s="46" t="s">
        <v>77</v>
      </c>
      <c r="E8" s="46" t="s">
        <v>79</v>
      </c>
    </row>
    <row r="9" spans="1:5" x14ac:dyDescent="0.45">
      <c r="B9" s="43" t="s">
        <v>83</v>
      </c>
      <c r="C9" s="43" t="s">
        <v>84</v>
      </c>
      <c r="D9" s="43">
        <v>0.80000099999999996</v>
      </c>
      <c r="E9" s="43">
        <v>0</v>
      </c>
    </row>
    <row r="10" spans="1:5" x14ac:dyDescent="0.45">
      <c r="B10" s="43" t="s">
        <v>85</v>
      </c>
      <c r="C10" s="43" t="s">
        <v>86</v>
      </c>
      <c r="D10" s="43">
        <v>0.1</v>
      </c>
      <c r="E10" s="43">
        <v>2.749999612569809E-2</v>
      </c>
    </row>
    <row r="11" spans="1:5" ht="14.65" thickBot="1" x14ac:dyDescent="0.5">
      <c r="B11" s="44" t="s">
        <v>87</v>
      </c>
      <c r="C11" s="44" t="s">
        <v>88</v>
      </c>
      <c r="D11" s="44">
        <v>9.9999999999999978E-2</v>
      </c>
      <c r="E11" s="44">
        <v>6.4999997615814209E-2</v>
      </c>
    </row>
    <row r="13" spans="1:5" ht="14.65" thickBot="1" x14ac:dyDescent="0.5">
      <c r="A13" t="s">
        <v>80</v>
      </c>
    </row>
    <row r="14" spans="1:5" x14ac:dyDescent="0.45">
      <c r="B14" s="45"/>
      <c r="C14" s="45"/>
      <c r="D14" s="45" t="s">
        <v>76</v>
      </c>
      <c r="E14" s="45" t="s">
        <v>81</v>
      </c>
    </row>
    <row r="15" spans="1:5" ht="14.65" thickBot="1" x14ac:dyDescent="0.5">
      <c r="B15" s="46" t="s">
        <v>74</v>
      </c>
      <c r="C15" s="46" t="s">
        <v>75</v>
      </c>
      <c r="D15" s="46" t="s">
        <v>77</v>
      </c>
      <c r="E15" s="46" t="s">
        <v>82</v>
      </c>
    </row>
    <row r="16" spans="1:5" x14ac:dyDescent="0.45">
      <c r="B16" s="43" t="s">
        <v>89</v>
      </c>
      <c r="C16" s="43" t="s">
        <v>90</v>
      </c>
      <c r="D16" s="43">
        <v>7.1250049999999995E-2</v>
      </c>
      <c r="E16" s="43">
        <v>0</v>
      </c>
    </row>
    <row r="17" spans="2:5" ht="14.65" thickBot="1" x14ac:dyDescent="0.5">
      <c r="B17" s="44" t="s">
        <v>91</v>
      </c>
      <c r="C17" s="44" t="s">
        <v>92</v>
      </c>
      <c r="D17" s="44">
        <v>1.0000009999999999</v>
      </c>
      <c r="E17" s="44">
        <v>3.7500001490116119E-2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871CE-3335-4FA6-969E-34CCE9E22E26}">
  <dimension ref="B1:W1001"/>
  <sheetViews>
    <sheetView tabSelected="1" workbookViewId="0">
      <selection activeCell="A13" sqref="A13"/>
    </sheetView>
  </sheetViews>
  <sheetFormatPr defaultRowHeight="14.25" x14ac:dyDescent="0.45"/>
  <cols>
    <col min="3" max="3" width="20.86328125" bestFit="1" customWidth="1"/>
    <col min="6" max="6" width="13.6640625" customWidth="1"/>
    <col min="7" max="7" width="9.53125" bestFit="1" customWidth="1"/>
    <col min="9" max="9" width="21.46484375" bestFit="1" customWidth="1"/>
    <col min="11" max="11" width="20.6640625" customWidth="1"/>
    <col min="12" max="12" width="14.1328125" bestFit="1" customWidth="1"/>
    <col min="15" max="15" width="9.53125" bestFit="1" customWidth="1"/>
    <col min="17" max="17" width="22" customWidth="1"/>
    <col min="18" max="18" width="18.33203125" customWidth="1"/>
    <col min="19" max="19" width="16.19921875" customWidth="1"/>
    <col min="21" max="21" width="11.6640625" customWidth="1"/>
    <col min="22" max="22" width="12.1328125" bestFit="1" customWidth="1"/>
    <col min="23" max="23" width="9.53125" bestFit="1" customWidth="1"/>
  </cols>
  <sheetData>
    <row r="1" spans="2:23" x14ac:dyDescent="0.45">
      <c r="B1" t="s">
        <v>61</v>
      </c>
      <c r="C1" s="2" t="s">
        <v>0</v>
      </c>
      <c r="D1" s="2">
        <v>30</v>
      </c>
      <c r="E1" s="2"/>
      <c r="F1" s="2"/>
      <c r="G1" s="2"/>
      <c r="H1" s="2"/>
      <c r="I1" s="2"/>
      <c r="J1" s="2"/>
      <c r="K1" s="2"/>
      <c r="L1" s="2"/>
      <c r="N1" t="s">
        <v>27</v>
      </c>
      <c r="O1" t="s">
        <v>30</v>
      </c>
    </row>
    <row r="2" spans="2:23" x14ac:dyDescent="0.45">
      <c r="B2" t="s">
        <v>62</v>
      </c>
      <c r="C2" s="2" t="s">
        <v>1</v>
      </c>
      <c r="D2" s="2">
        <v>60</v>
      </c>
      <c r="E2" s="2"/>
      <c r="F2" s="2"/>
      <c r="G2" s="2"/>
      <c r="H2" s="2"/>
      <c r="I2" s="2"/>
      <c r="J2" s="2"/>
      <c r="K2" s="23" t="s">
        <v>29</v>
      </c>
      <c r="L2" s="39">
        <f ca="1">L47</f>
        <v>372163.24584391061</v>
      </c>
      <c r="N2">
        <v>1</v>
      </c>
      <c r="O2" s="10">
        <f ca="1">L2</f>
        <v>372163.24584391061</v>
      </c>
    </row>
    <row r="3" spans="2:23" x14ac:dyDescent="0.45">
      <c r="B3" t="s">
        <v>63</v>
      </c>
      <c r="C3" s="2" t="s">
        <v>2</v>
      </c>
      <c r="D3" s="2">
        <v>70000</v>
      </c>
      <c r="E3" s="2"/>
      <c r="F3" s="2"/>
      <c r="G3" s="2"/>
      <c r="H3" s="2"/>
      <c r="I3" s="2"/>
      <c r="J3" s="2"/>
      <c r="K3" s="37" t="s">
        <v>45</v>
      </c>
      <c r="L3" s="38">
        <f>'Retirement Capital'!E27</f>
        <v>1454757</v>
      </c>
      <c r="N3">
        <v>2</v>
      </c>
      <c r="O3">
        <f t="dataTable" ref="O3:O1001" dt2D="0" dtr="0" r1="K5" ca="1"/>
        <v>362065.76231273171</v>
      </c>
    </row>
    <row r="4" spans="2:23" x14ac:dyDescent="0.45">
      <c r="B4" t="s">
        <v>64</v>
      </c>
      <c r="C4" s="2" t="s">
        <v>3</v>
      </c>
      <c r="D4" s="3">
        <v>3.5000000000000003E-2</v>
      </c>
      <c r="E4" s="2"/>
      <c r="F4" s="2"/>
      <c r="G4" s="2" t="s">
        <v>25</v>
      </c>
      <c r="H4" s="2">
        <v>0.7</v>
      </c>
      <c r="I4" s="2"/>
      <c r="J4" s="2"/>
      <c r="K4" s="2" t="s">
        <v>60</v>
      </c>
      <c r="L4" s="40">
        <f ca="1">L2-L3</f>
        <v>-1082593.7541560894</v>
      </c>
      <c r="N4">
        <v>3</v>
      </c>
      <c r="O4">
        <v>363688.77411078697</v>
      </c>
      <c r="S4" s="18" t="s">
        <v>69</v>
      </c>
      <c r="T4" s="18" t="s">
        <v>9</v>
      </c>
      <c r="U4" s="18" t="s">
        <v>10</v>
      </c>
      <c r="V4" s="18" t="s">
        <v>8</v>
      </c>
    </row>
    <row r="5" spans="2:23" x14ac:dyDescent="0.45">
      <c r="B5" t="s">
        <v>65</v>
      </c>
      <c r="C5" s="2" t="s">
        <v>4</v>
      </c>
      <c r="D5" s="4">
        <v>0.03</v>
      </c>
      <c r="E5" s="2"/>
      <c r="F5" s="2"/>
      <c r="G5" s="2"/>
      <c r="H5" s="2"/>
      <c r="I5" s="2"/>
      <c r="J5" s="2"/>
      <c r="K5" s="24" t="s">
        <v>47</v>
      </c>
      <c r="L5" s="42">
        <f ca="1">AVERAGE(O2:O1001)</f>
        <v>361039.95186254074</v>
      </c>
      <c r="N5">
        <v>4</v>
      </c>
      <c r="O5">
        <v>360343.32991219999</v>
      </c>
      <c r="S5" s="19" t="s">
        <v>11</v>
      </c>
      <c r="T5" s="21">
        <v>3.7499999999999999E-2</v>
      </c>
      <c r="U5" s="21">
        <v>0.05</v>
      </c>
      <c r="V5" s="8">
        <v>0.80000099999999996</v>
      </c>
    </row>
    <row r="6" spans="2:23" x14ac:dyDescent="0.45">
      <c r="B6" t="s">
        <v>66</v>
      </c>
      <c r="C6" s="2" t="s">
        <v>5</v>
      </c>
      <c r="D6" s="4">
        <v>0.03</v>
      </c>
      <c r="E6" s="2"/>
      <c r="F6" s="2"/>
      <c r="G6" s="2"/>
      <c r="H6" s="2"/>
      <c r="I6" s="2"/>
      <c r="J6" s="2"/>
      <c r="K6" s="2"/>
      <c r="L6" s="2"/>
      <c r="N6">
        <v>5</v>
      </c>
      <c r="O6">
        <v>370804.57174619986</v>
      </c>
      <c r="S6" s="19" t="s">
        <v>13</v>
      </c>
      <c r="T6" s="21">
        <v>6.5000000000000002E-2</v>
      </c>
      <c r="U6" s="21">
        <v>0.105</v>
      </c>
      <c r="V6" s="8">
        <v>0.1</v>
      </c>
    </row>
    <row r="7" spans="2:23" x14ac:dyDescent="0.45">
      <c r="B7" t="s">
        <v>67</v>
      </c>
      <c r="C7" s="2" t="s">
        <v>6</v>
      </c>
      <c r="D7" s="4">
        <v>0.02</v>
      </c>
      <c r="E7" s="2"/>
      <c r="F7" s="2"/>
      <c r="G7" s="2"/>
      <c r="H7" s="2"/>
      <c r="I7" s="2"/>
      <c r="J7" s="2"/>
      <c r="K7" s="2"/>
      <c r="L7" s="2"/>
      <c r="N7">
        <v>6</v>
      </c>
      <c r="O7">
        <v>361371.27016047889</v>
      </c>
      <c r="S7" s="19" t="s">
        <v>15</v>
      </c>
      <c r="T7" s="21">
        <v>0.10249999999999999</v>
      </c>
      <c r="U7" s="21">
        <v>0.20749999999999999</v>
      </c>
      <c r="V7" s="8">
        <v>9.9999999999999978E-2</v>
      </c>
    </row>
    <row r="8" spans="2:23" x14ac:dyDescent="0.45">
      <c r="B8" t="s">
        <v>68</v>
      </c>
      <c r="C8" s="2" t="s">
        <v>7</v>
      </c>
      <c r="D8" s="2">
        <v>30</v>
      </c>
      <c r="E8" s="2"/>
      <c r="F8" s="2"/>
      <c r="G8" s="2"/>
      <c r="H8" s="2"/>
      <c r="I8" s="2"/>
      <c r="J8" s="2"/>
      <c r="K8" s="2"/>
      <c r="L8" s="2"/>
      <c r="N8">
        <v>7</v>
      </c>
      <c r="O8">
        <v>353478.61335244606</v>
      </c>
      <c r="V8" s="8">
        <f>SUM(V5:V7)</f>
        <v>1.0000009999999999</v>
      </c>
    </row>
    <row r="9" spans="2:23" x14ac:dyDescent="0.45">
      <c r="C9" s="2"/>
      <c r="D9" s="2"/>
      <c r="E9" s="2"/>
      <c r="F9" s="2"/>
      <c r="G9" s="2"/>
      <c r="H9" s="2"/>
      <c r="I9" s="2"/>
      <c r="J9" s="2"/>
      <c r="K9" s="2"/>
      <c r="L9" s="2"/>
      <c r="N9">
        <v>8</v>
      </c>
      <c r="O9">
        <v>355502.42121931014</v>
      </c>
      <c r="V9" s="9">
        <f>(V5*T5)+(V6*T6)+(V7*T7)</f>
        <v>4.6750037499999994E-2</v>
      </c>
      <c r="W9" t="s">
        <v>70</v>
      </c>
    </row>
    <row r="10" spans="2:23" x14ac:dyDescent="0.45">
      <c r="C10" s="17"/>
      <c r="D10" s="18" t="s">
        <v>8</v>
      </c>
      <c r="E10" s="18" t="s">
        <v>9</v>
      </c>
      <c r="F10" s="18"/>
      <c r="G10" s="18" t="s">
        <v>10</v>
      </c>
      <c r="H10" s="2"/>
      <c r="I10" s="2"/>
      <c r="J10" s="2"/>
      <c r="K10" s="2"/>
      <c r="L10" s="2"/>
      <c r="N10">
        <v>9</v>
      </c>
      <c r="O10">
        <v>374849.37726880377</v>
      </c>
    </row>
    <row r="11" spans="2:23" x14ac:dyDescent="0.45">
      <c r="C11" s="19" t="s">
        <v>11</v>
      </c>
      <c r="D11" s="20">
        <v>0.8</v>
      </c>
      <c r="E11" s="21">
        <v>3.7499999999999999E-2</v>
      </c>
      <c r="F11" s="21"/>
      <c r="G11" s="21">
        <v>0.05</v>
      </c>
      <c r="H11" s="2"/>
      <c r="I11" s="2" t="s">
        <v>12</v>
      </c>
      <c r="J11" s="3">
        <v>4.7E-2</v>
      </c>
      <c r="K11" s="2"/>
      <c r="L11" s="2"/>
      <c r="N11">
        <v>10</v>
      </c>
      <c r="O11">
        <v>371385.48246062797</v>
      </c>
      <c r="V11" s="15">
        <f>(V5*5%)+(V6*10.5%)+(V7*20.75%)</f>
        <v>7.1250049999999995E-2</v>
      </c>
      <c r="W11" t="s">
        <v>10</v>
      </c>
    </row>
    <row r="12" spans="2:23" x14ac:dyDescent="0.45">
      <c r="C12" s="19" t="s">
        <v>13</v>
      </c>
      <c r="D12" s="20">
        <v>0.1</v>
      </c>
      <c r="E12" s="21">
        <v>6.5000000000000002E-2</v>
      </c>
      <c r="F12" s="21"/>
      <c r="G12" s="21">
        <v>0.105</v>
      </c>
      <c r="H12" s="2"/>
      <c r="I12" s="2" t="s">
        <v>14</v>
      </c>
      <c r="J12" s="22">
        <f>(D11*G11)+(D12*G12)+(D13*G13)</f>
        <v>7.1250000000000008E-2</v>
      </c>
      <c r="K12" s="2"/>
      <c r="L12" s="2"/>
      <c r="N12">
        <v>11</v>
      </c>
      <c r="O12">
        <v>351223.35869067552</v>
      </c>
    </row>
    <row r="13" spans="2:23" x14ac:dyDescent="0.45">
      <c r="C13" s="19" t="s">
        <v>15</v>
      </c>
      <c r="D13" s="20">
        <v>0.1</v>
      </c>
      <c r="E13" s="21">
        <v>0.10249999999999999</v>
      </c>
      <c r="F13" s="21"/>
      <c r="G13" s="21">
        <v>0.20749999999999999</v>
      </c>
      <c r="H13" s="2"/>
      <c r="I13" s="2"/>
      <c r="J13" s="2"/>
      <c r="K13" s="2"/>
      <c r="L13" s="2"/>
      <c r="N13">
        <v>12</v>
      </c>
      <c r="O13">
        <v>351294.19746937882</v>
      </c>
    </row>
    <row r="14" spans="2:23" x14ac:dyDescent="0.45">
      <c r="C14" s="2"/>
      <c r="D14" s="2"/>
      <c r="E14" s="2"/>
      <c r="F14" s="2"/>
      <c r="G14" s="2"/>
      <c r="H14" s="2"/>
      <c r="I14" s="2"/>
      <c r="J14" s="2"/>
      <c r="K14" s="2"/>
      <c r="L14" s="2"/>
      <c r="N14">
        <v>13</v>
      </c>
      <c r="O14">
        <v>373446.83946432557</v>
      </c>
    </row>
    <row r="15" spans="2:23" x14ac:dyDescent="0.45">
      <c r="C15" s="2"/>
      <c r="D15" s="2"/>
      <c r="E15" s="2"/>
      <c r="F15" s="2"/>
      <c r="G15" s="2"/>
      <c r="H15" s="2"/>
      <c r="I15" s="2"/>
      <c r="J15" s="2"/>
      <c r="K15" s="2"/>
      <c r="L15" s="2"/>
      <c r="N15">
        <v>14</v>
      </c>
      <c r="O15">
        <v>353036.92768260348</v>
      </c>
    </row>
    <row r="16" spans="2:23" x14ac:dyDescent="0.45">
      <c r="C16" s="2"/>
      <c r="D16" s="6" t="s">
        <v>16</v>
      </c>
      <c r="E16" s="5" t="s">
        <v>17</v>
      </c>
      <c r="F16" s="5" t="s">
        <v>26</v>
      </c>
      <c r="G16" s="5" t="s">
        <v>18</v>
      </c>
      <c r="H16" s="5" t="s">
        <v>19</v>
      </c>
      <c r="I16" s="5" t="s">
        <v>20</v>
      </c>
      <c r="J16" s="5" t="s">
        <v>21</v>
      </c>
      <c r="K16" s="5" t="s">
        <v>23</v>
      </c>
      <c r="L16" s="5" t="s">
        <v>24</v>
      </c>
      <c r="N16">
        <v>15</v>
      </c>
      <c r="O16">
        <v>383519.17606954963</v>
      </c>
    </row>
    <row r="17" spans="3:15" x14ac:dyDescent="0.45">
      <c r="C17" s="2"/>
      <c r="D17" s="2">
        <v>1</v>
      </c>
      <c r="E17" s="2">
        <v>30</v>
      </c>
      <c r="F17" s="11">
        <f ca="1">_xlfn.NORM.INV(RAND(),0.035,0.007)</f>
        <v>4.3312771672361153E-2</v>
      </c>
      <c r="G17" s="12">
        <v>70000</v>
      </c>
      <c r="H17" s="12">
        <f>G17*$D$5</f>
        <v>2100</v>
      </c>
      <c r="I17" s="12">
        <f>G17*$D$6</f>
        <v>2100</v>
      </c>
      <c r="J17" s="12">
        <f>H17+I17</f>
        <v>4200</v>
      </c>
      <c r="K17" s="2">
        <v>0</v>
      </c>
      <c r="L17" s="12">
        <f>J17+K17</f>
        <v>4200</v>
      </c>
      <c r="N17">
        <v>16</v>
      </c>
      <c r="O17">
        <v>364337.80808224407</v>
      </c>
    </row>
    <row r="18" spans="3:15" x14ac:dyDescent="0.45">
      <c r="C18" s="2"/>
      <c r="D18" s="2">
        <v>2</v>
      </c>
      <c r="E18" s="2">
        <f>E17+1</f>
        <v>31</v>
      </c>
      <c r="F18" s="11">
        <f t="shared" ref="F18:F47" ca="1" si="0">_xlfn.NORM.INV(RAND(),0.035,0.007)</f>
        <v>3.5255420904828347E-2</v>
      </c>
      <c r="G18" s="12">
        <f ca="1">G17*(1+F18)</f>
        <v>72467.879463337988</v>
      </c>
      <c r="H18" s="12">
        <f t="shared" ref="H18:H47" ca="1" si="1">G18*$D$5</f>
        <v>2174.0363839001398</v>
      </c>
      <c r="I18" s="12">
        <f t="shared" ref="I18:I47" ca="1" si="2">G18*$D$6</f>
        <v>2174.0363839001398</v>
      </c>
      <c r="J18" s="12">
        <f t="shared" ref="J18:J47" ca="1" si="3">H18+I18</f>
        <v>4348.0727678002795</v>
      </c>
      <c r="K18" s="12">
        <f t="shared" ref="K18:K47" si="4">(J17*$J$11)+K17</f>
        <v>197.4</v>
      </c>
      <c r="L18" s="12">
        <f t="shared" ref="L18:L47" ca="1" si="5">J18+K18+L17</f>
        <v>8745.4727678002782</v>
      </c>
      <c r="N18">
        <v>17</v>
      </c>
      <c r="O18">
        <v>355539.59673010325</v>
      </c>
    </row>
    <row r="19" spans="3:15" x14ac:dyDescent="0.45">
      <c r="C19" s="2"/>
      <c r="D19" s="2">
        <v>3</v>
      </c>
      <c r="E19" s="2">
        <f t="shared" ref="E19:E47" si="6">E18+1</f>
        <v>32</v>
      </c>
      <c r="F19" s="11">
        <f t="shared" ca="1" si="0"/>
        <v>3.9917275847239385E-2</v>
      </c>
      <c r="G19" s="12">
        <f t="shared" ref="G19:G46" ca="1" si="7">G18*(1+F19)</f>
        <v>75360.599797940551</v>
      </c>
      <c r="H19" s="12">
        <f t="shared" ca="1" si="1"/>
        <v>2260.8179939382167</v>
      </c>
      <c r="I19" s="12">
        <f t="shared" ca="1" si="2"/>
        <v>2260.8179939382167</v>
      </c>
      <c r="J19" s="12">
        <f t="shared" ca="1" si="3"/>
        <v>4521.6359878764333</v>
      </c>
      <c r="K19" s="12">
        <f t="shared" ca="1" si="4"/>
        <v>401.75942008661315</v>
      </c>
      <c r="L19" s="12">
        <f t="shared" ca="1" si="5"/>
        <v>13668.868175763324</v>
      </c>
      <c r="N19">
        <v>18</v>
      </c>
      <c r="O19">
        <v>359059.45247026673</v>
      </c>
    </row>
    <row r="20" spans="3:15" x14ac:dyDescent="0.45">
      <c r="C20" s="2"/>
      <c r="D20" s="2">
        <v>4</v>
      </c>
      <c r="E20" s="2">
        <f t="shared" si="6"/>
        <v>33</v>
      </c>
      <c r="F20" s="11">
        <f t="shared" ca="1" si="0"/>
        <v>3.6084632964493976E-2</v>
      </c>
      <c r="G20" s="12">
        <f t="shared" ca="1" si="7"/>
        <v>78079.959381633351</v>
      </c>
      <c r="H20" s="12">
        <f t="shared" ca="1" si="1"/>
        <v>2342.3987814490006</v>
      </c>
      <c r="I20" s="12">
        <f t="shared" ca="1" si="2"/>
        <v>2342.3987814490006</v>
      </c>
      <c r="J20" s="12">
        <f t="shared" ca="1" si="3"/>
        <v>4684.7975628980012</v>
      </c>
      <c r="K20" s="12">
        <f t="shared" ca="1" si="4"/>
        <v>614.27631151680555</v>
      </c>
      <c r="L20" s="12">
        <f t="shared" ca="1" si="5"/>
        <v>18967.942050178131</v>
      </c>
      <c r="N20">
        <v>19</v>
      </c>
      <c r="O20">
        <v>359604.71192267799</v>
      </c>
    </row>
    <row r="21" spans="3:15" x14ac:dyDescent="0.45">
      <c r="C21" s="2"/>
      <c r="D21" s="2">
        <v>5</v>
      </c>
      <c r="E21" s="2">
        <f t="shared" si="6"/>
        <v>34</v>
      </c>
      <c r="F21" s="11">
        <f t="shared" ca="1" si="0"/>
        <v>4.1779013081749888E-2</v>
      </c>
      <c r="G21" s="12">
        <f t="shared" ca="1" si="7"/>
        <v>81342.063026061107</v>
      </c>
      <c r="H21" s="12">
        <f t="shared" ca="1" si="1"/>
        <v>2440.2618907818332</v>
      </c>
      <c r="I21" s="12">
        <f t="shared" ca="1" si="2"/>
        <v>2440.2618907818332</v>
      </c>
      <c r="J21" s="12">
        <f t="shared" ca="1" si="3"/>
        <v>4880.5237815636665</v>
      </c>
      <c r="K21" s="12">
        <f t="shared" ca="1" si="4"/>
        <v>834.46179697301159</v>
      </c>
      <c r="L21" s="12">
        <f t="shared" ca="1" si="5"/>
        <v>24682.92762871481</v>
      </c>
      <c r="N21">
        <v>20</v>
      </c>
      <c r="O21">
        <v>358331.74672447919</v>
      </c>
    </row>
    <row r="22" spans="3:15" x14ac:dyDescent="0.45">
      <c r="C22" s="2"/>
      <c r="D22" s="2">
        <v>6</v>
      </c>
      <c r="E22" s="2">
        <f t="shared" si="6"/>
        <v>35</v>
      </c>
      <c r="F22" s="11">
        <f t="shared" ca="1" si="0"/>
        <v>2.5145671205553295E-2</v>
      </c>
      <c r="G22" s="12">
        <f t="shared" ca="1" si="7"/>
        <v>83387.463798095836</v>
      </c>
      <c r="H22" s="12">
        <f t="shared" ca="1" si="1"/>
        <v>2501.6239139428749</v>
      </c>
      <c r="I22" s="12">
        <f t="shared" ca="1" si="2"/>
        <v>2501.6239139428749</v>
      </c>
      <c r="J22" s="12">
        <f t="shared" ca="1" si="3"/>
        <v>5003.2478278857498</v>
      </c>
      <c r="K22" s="12">
        <f t="shared" ca="1" si="4"/>
        <v>1063.846414706504</v>
      </c>
      <c r="L22" s="12">
        <f t="shared" ca="1" si="5"/>
        <v>30750.021871307064</v>
      </c>
      <c r="N22">
        <v>21</v>
      </c>
      <c r="O22">
        <v>356884.35365339898</v>
      </c>
    </row>
    <row r="23" spans="3:15" x14ac:dyDescent="0.45">
      <c r="C23" s="2"/>
      <c r="D23" s="2">
        <v>7</v>
      </c>
      <c r="E23" s="2">
        <f t="shared" si="6"/>
        <v>36</v>
      </c>
      <c r="F23" s="11">
        <f t="shared" ca="1" si="0"/>
        <v>3.9858121010783294E-2</v>
      </c>
      <c r="G23" s="12">
        <f t="shared" ca="1" si="7"/>
        <v>86711.131420942649</v>
      </c>
      <c r="H23" s="12">
        <f t="shared" ca="1" si="1"/>
        <v>2601.3339426282796</v>
      </c>
      <c r="I23" s="12">
        <f t="shared" ca="1" si="2"/>
        <v>2601.3339426282796</v>
      </c>
      <c r="J23" s="12">
        <f t="shared" ca="1" si="3"/>
        <v>5202.6678852565592</v>
      </c>
      <c r="K23" s="12">
        <f t="shared" ca="1" si="4"/>
        <v>1298.9990626171343</v>
      </c>
      <c r="L23" s="12">
        <f t="shared" ca="1" si="5"/>
        <v>37251.688819180759</v>
      </c>
      <c r="N23">
        <v>22</v>
      </c>
      <c r="O23">
        <v>368462.55417325988</v>
      </c>
    </row>
    <row r="24" spans="3:15" x14ac:dyDescent="0.45">
      <c r="C24" s="2"/>
      <c r="D24" s="2">
        <v>8</v>
      </c>
      <c r="E24" s="2">
        <f t="shared" si="6"/>
        <v>37</v>
      </c>
      <c r="F24" s="11">
        <f t="shared" ca="1" si="0"/>
        <v>5.2177984417474864E-2</v>
      </c>
      <c r="G24" s="12">
        <f t="shared" ca="1" si="7"/>
        <v>91235.543485046204</v>
      </c>
      <c r="H24" s="12">
        <f t="shared" ca="1" si="1"/>
        <v>2737.0663045513861</v>
      </c>
      <c r="I24" s="12">
        <f t="shared" ca="1" si="2"/>
        <v>2737.0663045513861</v>
      </c>
      <c r="J24" s="12">
        <f t="shared" ca="1" si="3"/>
        <v>5474.1326091027722</v>
      </c>
      <c r="K24" s="12">
        <f t="shared" ca="1" si="4"/>
        <v>1543.5244532241927</v>
      </c>
      <c r="L24" s="12">
        <f t="shared" ca="1" si="5"/>
        <v>44269.345881507725</v>
      </c>
      <c r="N24">
        <v>23</v>
      </c>
      <c r="O24">
        <v>354458.08438253187</v>
      </c>
    </row>
    <row r="25" spans="3:15" x14ac:dyDescent="0.45">
      <c r="C25" s="2"/>
      <c r="D25" s="2">
        <v>9</v>
      </c>
      <c r="E25" s="2">
        <f t="shared" si="6"/>
        <v>38</v>
      </c>
      <c r="F25" s="11">
        <f t="shared" ca="1" si="0"/>
        <v>2.8172783396168268E-2</v>
      </c>
      <c r="G25" s="12">
        <f t="shared" ca="1" si="7"/>
        <v>93805.902689682101</v>
      </c>
      <c r="H25" s="12">
        <f t="shared" ca="1" si="1"/>
        <v>2814.1770806904628</v>
      </c>
      <c r="I25" s="12">
        <f t="shared" ca="1" si="2"/>
        <v>2814.1770806904628</v>
      </c>
      <c r="J25" s="12">
        <f t="shared" ca="1" si="3"/>
        <v>5628.3541613809257</v>
      </c>
      <c r="K25" s="12">
        <f t="shared" ca="1" si="4"/>
        <v>1800.808685852023</v>
      </c>
      <c r="L25" s="12">
        <f t="shared" ca="1" si="5"/>
        <v>51698.508728740671</v>
      </c>
      <c r="N25">
        <v>24</v>
      </c>
      <c r="O25">
        <v>355458.63301865972</v>
      </c>
    </row>
    <row r="26" spans="3:15" x14ac:dyDescent="0.45">
      <c r="C26" s="2"/>
      <c r="D26" s="2">
        <v>10</v>
      </c>
      <c r="E26" s="2">
        <f t="shared" si="6"/>
        <v>39</v>
      </c>
      <c r="F26" s="11">
        <f t="shared" ca="1" si="0"/>
        <v>2.704389138589533E-2</v>
      </c>
      <c r="G26" s="12">
        <f t="shared" ca="1" si="7"/>
        <v>96342.779333377723</v>
      </c>
      <c r="H26" s="12">
        <f t="shared" ca="1" si="1"/>
        <v>2890.2833800013314</v>
      </c>
      <c r="I26" s="12">
        <f t="shared" ca="1" si="2"/>
        <v>2890.2833800013314</v>
      </c>
      <c r="J26" s="12">
        <f t="shared" ca="1" si="3"/>
        <v>5780.5667600026627</v>
      </c>
      <c r="K26" s="12">
        <f t="shared" ca="1" si="4"/>
        <v>2065.3413314369263</v>
      </c>
      <c r="L26" s="12">
        <f t="shared" ca="1" si="5"/>
        <v>59544.41682018026</v>
      </c>
      <c r="N26">
        <v>25</v>
      </c>
      <c r="O26">
        <v>358701.88372307632</v>
      </c>
    </row>
    <row r="27" spans="3:15" x14ac:dyDescent="0.45">
      <c r="C27" s="2"/>
      <c r="D27" s="2">
        <v>11</v>
      </c>
      <c r="E27" s="2">
        <f t="shared" si="6"/>
        <v>40</v>
      </c>
      <c r="F27" s="11">
        <f t="shared" ca="1" si="0"/>
        <v>4.4993667249962628E-2</v>
      </c>
      <c r="G27" s="12">
        <f t="shared" ca="1" si="7"/>
        <v>100677.59428864031</v>
      </c>
      <c r="H27" s="12">
        <f t="shared" ca="1" si="1"/>
        <v>3020.327828659209</v>
      </c>
      <c r="I27" s="12">
        <f t="shared" ca="1" si="2"/>
        <v>3020.327828659209</v>
      </c>
      <c r="J27" s="12">
        <f t="shared" ca="1" si="3"/>
        <v>6040.655657318418</v>
      </c>
      <c r="K27" s="12">
        <f t="shared" ca="1" si="4"/>
        <v>2337.0279691570513</v>
      </c>
      <c r="L27" s="12">
        <f t="shared" ca="1" si="5"/>
        <v>67922.100446655735</v>
      </c>
      <c r="N27">
        <v>26</v>
      </c>
      <c r="O27">
        <v>355650.23025060561</v>
      </c>
    </row>
    <row r="28" spans="3:15" x14ac:dyDescent="0.45">
      <c r="C28" s="2"/>
      <c r="D28" s="2">
        <v>12</v>
      </c>
      <c r="E28" s="2">
        <f t="shared" si="6"/>
        <v>41</v>
      </c>
      <c r="F28" s="11">
        <f t="shared" ca="1" si="0"/>
        <v>4.6497881384585556E-2</v>
      </c>
      <c r="G28" s="12">
        <f t="shared" ca="1" si="7"/>
        <v>105358.88912595893</v>
      </c>
      <c r="H28" s="12">
        <f t="shared" ca="1" si="1"/>
        <v>3160.7666737787677</v>
      </c>
      <c r="I28" s="12">
        <f t="shared" ca="1" si="2"/>
        <v>3160.7666737787677</v>
      </c>
      <c r="J28" s="12">
        <f t="shared" ca="1" si="3"/>
        <v>6321.5333475575353</v>
      </c>
      <c r="K28" s="12">
        <f t="shared" ca="1" si="4"/>
        <v>2620.938785051017</v>
      </c>
      <c r="L28" s="12">
        <f t="shared" ca="1" si="5"/>
        <v>76864.572579264292</v>
      </c>
      <c r="N28">
        <v>27</v>
      </c>
      <c r="O28">
        <v>357567.4175195694</v>
      </c>
    </row>
    <row r="29" spans="3:15" x14ac:dyDescent="0.45">
      <c r="C29" s="2"/>
      <c r="D29" s="2">
        <v>13</v>
      </c>
      <c r="E29" s="2">
        <f t="shared" si="6"/>
        <v>42</v>
      </c>
      <c r="F29" s="11">
        <f t="shared" ca="1" si="0"/>
        <v>3.8891912353611967E-2</v>
      </c>
      <c r="G29" s="12">
        <f t="shared" ca="1" si="7"/>
        <v>109456.49780751964</v>
      </c>
      <c r="H29" s="12">
        <f t="shared" ca="1" si="1"/>
        <v>3283.6949342255889</v>
      </c>
      <c r="I29" s="12">
        <f t="shared" ca="1" si="2"/>
        <v>3283.6949342255889</v>
      </c>
      <c r="J29" s="12">
        <f t="shared" ca="1" si="3"/>
        <v>6567.3898684511778</v>
      </c>
      <c r="K29" s="12">
        <f t="shared" ca="1" si="4"/>
        <v>2918.0508523862213</v>
      </c>
      <c r="L29" s="12">
        <f t="shared" ca="1" si="5"/>
        <v>86350.013300101695</v>
      </c>
      <c r="N29">
        <v>28</v>
      </c>
      <c r="O29">
        <v>366296.42117284553</v>
      </c>
    </row>
    <row r="30" spans="3:15" x14ac:dyDescent="0.45">
      <c r="C30" s="2"/>
      <c r="D30" s="2">
        <v>14</v>
      </c>
      <c r="E30" s="2">
        <f t="shared" si="6"/>
        <v>43</v>
      </c>
      <c r="F30" s="11">
        <f t="shared" ca="1" si="0"/>
        <v>3.655155789314208E-2</v>
      </c>
      <c r="G30" s="12">
        <f t="shared" ca="1" si="7"/>
        <v>113457.30332391178</v>
      </c>
      <c r="H30" s="12">
        <f t="shared" ca="1" si="1"/>
        <v>3403.7190997173534</v>
      </c>
      <c r="I30" s="12">
        <f t="shared" ca="1" si="2"/>
        <v>3403.7190997173534</v>
      </c>
      <c r="J30" s="12">
        <f t="shared" ca="1" si="3"/>
        <v>6807.4381994347068</v>
      </c>
      <c r="K30" s="12">
        <f t="shared" ca="1" si="4"/>
        <v>3226.7181762034265</v>
      </c>
      <c r="L30" s="12">
        <f t="shared" ca="1" si="5"/>
        <v>96384.169675739831</v>
      </c>
      <c r="N30">
        <v>29</v>
      </c>
      <c r="O30">
        <v>352362.08479578828</v>
      </c>
    </row>
    <row r="31" spans="3:15" x14ac:dyDescent="0.45">
      <c r="C31" s="2"/>
      <c r="D31" s="2">
        <v>15</v>
      </c>
      <c r="E31" s="2">
        <f t="shared" si="6"/>
        <v>44</v>
      </c>
      <c r="F31" s="11">
        <f t="shared" ca="1" si="0"/>
        <v>3.5348709131024204E-2</v>
      </c>
      <c r="G31" s="12">
        <f t="shared" ca="1" si="7"/>
        <v>117467.87253789914</v>
      </c>
      <c r="H31" s="12">
        <f t="shared" ca="1" si="1"/>
        <v>3524.0361761369741</v>
      </c>
      <c r="I31" s="12">
        <f t="shared" ca="1" si="2"/>
        <v>3524.0361761369741</v>
      </c>
      <c r="J31" s="12">
        <f t="shared" ca="1" si="3"/>
        <v>7048.0723522739481</v>
      </c>
      <c r="K31" s="12">
        <f t="shared" ca="1" si="4"/>
        <v>3546.6677715768578</v>
      </c>
      <c r="L31" s="12">
        <f t="shared" ca="1" si="5"/>
        <v>106978.90979959063</v>
      </c>
      <c r="N31">
        <v>30</v>
      </c>
      <c r="O31">
        <v>351184.2202353389</v>
      </c>
    </row>
    <row r="32" spans="3:15" x14ac:dyDescent="0.45">
      <c r="C32" s="2"/>
      <c r="D32" s="2">
        <v>16</v>
      </c>
      <c r="E32" s="2">
        <f t="shared" si="6"/>
        <v>45</v>
      </c>
      <c r="F32" s="11">
        <f t="shared" ca="1" si="0"/>
        <v>2.9625196994448363E-2</v>
      </c>
      <c r="G32" s="12">
        <f t="shared" ca="1" si="7"/>
        <v>120947.88140235314</v>
      </c>
      <c r="H32" s="12">
        <f t="shared" ca="1" si="1"/>
        <v>3628.4364420705942</v>
      </c>
      <c r="I32" s="12">
        <f t="shared" ca="1" si="2"/>
        <v>3628.4364420705942</v>
      </c>
      <c r="J32" s="12">
        <f t="shared" ca="1" si="3"/>
        <v>7256.8728841411885</v>
      </c>
      <c r="K32" s="12">
        <f t="shared" ca="1" si="4"/>
        <v>3877.9271721337336</v>
      </c>
      <c r="L32" s="12">
        <f t="shared" ca="1" si="5"/>
        <v>118113.70985586556</v>
      </c>
      <c r="N32">
        <v>31</v>
      </c>
      <c r="O32">
        <v>353396.46066038724</v>
      </c>
    </row>
    <row r="33" spans="3:15" x14ac:dyDescent="0.45">
      <c r="C33" s="2"/>
      <c r="D33" s="2">
        <v>17</v>
      </c>
      <c r="E33" s="2">
        <f t="shared" si="6"/>
        <v>46</v>
      </c>
      <c r="F33" s="11">
        <f t="shared" ca="1" si="0"/>
        <v>2.6494547373015535E-2</v>
      </c>
      <c r="G33" s="12">
        <f t="shared" ca="1" si="7"/>
        <v>124152.34077583367</v>
      </c>
      <c r="H33" s="12">
        <f t="shared" ca="1" si="1"/>
        <v>3724.57022327501</v>
      </c>
      <c r="I33" s="12">
        <f t="shared" ca="1" si="2"/>
        <v>3724.57022327501</v>
      </c>
      <c r="J33" s="12">
        <f t="shared" ca="1" si="3"/>
        <v>7449.14044655002</v>
      </c>
      <c r="K33" s="12">
        <f t="shared" ca="1" si="4"/>
        <v>4219.0001976883696</v>
      </c>
      <c r="L33" s="12">
        <f t="shared" ca="1" si="5"/>
        <v>129781.85050010394</v>
      </c>
      <c r="N33">
        <v>32</v>
      </c>
      <c r="O33">
        <v>377718.50023640157</v>
      </c>
    </row>
    <row r="34" spans="3:15" x14ac:dyDescent="0.45">
      <c r="C34" s="2"/>
      <c r="D34" s="2">
        <v>18</v>
      </c>
      <c r="E34" s="2">
        <f t="shared" si="6"/>
        <v>47</v>
      </c>
      <c r="F34" s="11">
        <f t="shared" ca="1" si="0"/>
        <v>3.0517666208535948E-2</v>
      </c>
      <c r="G34" s="12">
        <f t="shared" ca="1" si="7"/>
        <v>127941.18047063898</v>
      </c>
      <c r="H34" s="12">
        <f t="shared" ca="1" si="1"/>
        <v>3838.2354141191695</v>
      </c>
      <c r="I34" s="12">
        <f t="shared" ca="1" si="2"/>
        <v>3838.2354141191695</v>
      </c>
      <c r="J34" s="12">
        <f t="shared" ca="1" si="3"/>
        <v>7676.470828238339</v>
      </c>
      <c r="K34" s="12">
        <f t="shared" ca="1" si="4"/>
        <v>4569.1097986762206</v>
      </c>
      <c r="L34" s="12">
        <f t="shared" ca="1" si="5"/>
        <v>142027.4311270185</v>
      </c>
      <c r="N34">
        <v>33</v>
      </c>
      <c r="O34">
        <v>371072.07213269861</v>
      </c>
    </row>
    <row r="35" spans="3:15" x14ac:dyDescent="0.45">
      <c r="C35" s="2"/>
      <c r="D35" s="2">
        <v>19</v>
      </c>
      <c r="E35" s="2">
        <f t="shared" si="6"/>
        <v>48</v>
      </c>
      <c r="F35" s="11">
        <f t="shared" ca="1" si="0"/>
        <v>3.8794029707568518E-2</v>
      </c>
      <c r="G35" s="12">
        <f t="shared" ca="1" si="7"/>
        <v>132904.53442663836</v>
      </c>
      <c r="H35" s="12">
        <f t="shared" ca="1" si="1"/>
        <v>3987.1360327991506</v>
      </c>
      <c r="I35" s="12">
        <f t="shared" ca="1" si="2"/>
        <v>3987.1360327991506</v>
      </c>
      <c r="J35" s="12">
        <f t="shared" ca="1" si="3"/>
        <v>7974.2720655983012</v>
      </c>
      <c r="K35" s="12">
        <f t="shared" ca="1" si="4"/>
        <v>4929.9039276034227</v>
      </c>
      <c r="L35" s="12">
        <f t="shared" ca="1" si="5"/>
        <v>154931.60712022023</v>
      </c>
      <c r="N35">
        <v>34</v>
      </c>
      <c r="O35">
        <v>364327.29585375031</v>
      </c>
    </row>
    <row r="36" spans="3:15" x14ac:dyDescent="0.45">
      <c r="C36" s="2"/>
      <c r="D36" s="2">
        <v>20</v>
      </c>
      <c r="E36" s="2">
        <f t="shared" si="6"/>
        <v>49</v>
      </c>
      <c r="F36" s="11">
        <f t="shared" ca="1" si="0"/>
        <v>3.6809015442028116E-2</v>
      </c>
      <c r="G36" s="12">
        <f t="shared" ca="1" si="7"/>
        <v>137796.61948666407</v>
      </c>
      <c r="H36" s="12">
        <f t="shared" ca="1" si="1"/>
        <v>4133.8985845999223</v>
      </c>
      <c r="I36" s="12">
        <f t="shared" ca="1" si="2"/>
        <v>4133.8985845999223</v>
      </c>
      <c r="J36" s="12">
        <f t="shared" ca="1" si="3"/>
        <v>8267.7971691998446</v>
      </c>
      <c r="K36" s="12">
        <f t="shared" ca="1" si="4"/>
        <v>5304.6947146865432</v>
      </c>
      <c r="L36" s="12">
        <f t="shared" ca="1" si="5"/>
        <v>168504.09900410663</v>
      </c>
      <c r="N36">
        <v>35</v>
      </c>
      <c r="O36">
        <v>371370.25087656273</v>
      </c>
    </row>
    <row r="37" spans="3:15" x14ac:dyDescent="0.45">
      <c r="C37" s="2"/>
      <c r="D37" s="2">
        <v>21</v>
      </c>
      <c r="E37" s="2">
        <f t="shared" si="6"/>
        <v>50</v>
      </c>
      <c r="F37" s="11">
        <f t="shared" ca="1" si="0"/>
        <v>3.9661478605015954E-2</v>
      </c>
      <c r="G37" s="12">
        <f t="shared" ca="1" si="7"/>
        <v>143261.83716227792</v>
      </c>
      <c r="H37" s="12">
        <f t="shared" ca="1" si="1"/>
        <v>4297.8551148683373</v>
      </c>
      <c r="I37" s="12">
        <f t="shared" ca="1" si="2"/>
        <v>4297.8551148683373</v>
      </c>
      <c r="J37" s="12">
        <f t="shared" ca="1" si="3"/>
        <v>8595.7102297366746</v>
      </c>
      <c r="K37" s="12">
        <f t="shared" ca="1" si="4"/>
        <v>5693.2811816389358</v>
      </c>
      <c r="L37" s="12">
        <f t="shared" ca="1" si="5"/>
        <v>182793.09041548223</v>
      </c>
      <c r="N37">
        <v>36</v>
      </c>
      <c r="O37">
        <v>361489.83714660897</v>
      </c>
    </row>
    <row r="38" spans="3:15" x14ac:dyDescent="0.45">
      <c r="C38" s="2"/>
      <c r="D38" s="2">
        <v>22</v>
      </c>
      <c r="E38" s="2">
        <f t="shared" si="6"/>
        <v>51</v>
      </c>
      <c r="F38" s="11">
        <f t="shared" ca="1" si="0"/>
        <v>3.5539117791243108E-2</v>
      </c>
      <c r="G38" s="12">
        <f t="shared" ca="1" si="7"/>
        <v>148353.23646817802</v>
      </c>
      <c r="H38" s="12">
        <f t="shared" ca="1" si="1"/>
        <v>4450.5970940453399</v>
      </c>
      <c r="I38" s="12">
        <f t="shared" ca="1" si="2"/>
        <v>4450.5970940453399</v>
      </c>
      <c r="J38" s="12">
        <f t="shared" ca="1" si="3"/>
        <v>8901.1941880906797</v>
      </c>
      <c r="K38" s="12">
        <f t="shared" ca="1" si="4"/>
        <v>6097.2795624365599</v>
      </c>
      <c r="L38" s="12">
        <f t="shared" ca="1" si="5"/>
        <v>197791.56416600948</v>
      </c>
      <c r="N38">
        <v>37</v>
      </c>
      <c r="O38">
        <v>361393.17724866816</v>
      </c>
    </row>
    <row r="39" spans="3:15" x14ac:dyDescent="0.45">
      <c r="C39" s="2"/>
      <c r="D39" s="2">
        <v>23</v>
      </c>
      <c r="E39" s="2">
        <f t="shared" si="6"/>
        <v>52</v>
      </c>
      <c r="F39" s="11">
        <f t="shared" ca="1" si="0"/>
        <v>3.0666666062176304E-2</v>
      </c>
      <c r="G39" s="12">
        <f t="shared" ca="1" si="7"/>
        <v>152902.73563019073</v>
      </c>
      <c r="H39" s="12">
        <f t="shared" ca="1" si="1"/>
        <v>4587.0820689057218</v>
      </c>
      <c r="I39" s="12">
        <f t="shared" ca="1" si="2"/>
        <v>4587.0820689057218</v>
      </c>
      <c r="J39" s="12">
        <f t="shared" ca="1" si="3"/>
        <v>9174.1641378114437</v>
      </c>
      <c r="K39" s="12">
        <f t="shared" ca="1" si="4"/>
        <v>6515.6356892768217</v>
      </c>
      <c r="L39" s="12">
        <f t="shared" ca="1" si="5"/>
        <v>213481.36399309774</v>
      </c>
      <c r="N39">
        <v>38</v>
      </c>
      <c r="O39">
        <v>368984.82580695313</v>
      </c>
    </row>
    <row r="40" spans="3:15" x14ac:dyDescent="0.45">
      <c r="C40" s="2"/>
      <c r="D40" s="2">
        <v>24</v>
      </c>
      <c r="E40" s="2">
        <f t="shared" si="6"/>
        <v>53</v>
      </c>
      <c r="F40" s="11">
        <f t="shared" ca="1" si="0"/>
        <v>4.6499276263210598E-2</v>
      </c>
      <c r="G40" s="12">
        <f t="shared" ca="1" si="7"/>
        <v>160012.60217565962</v>
      </c>
      <c r="H40" s="12">
        <f t="shared" ca="1" si="1"/>
        <v>4800.3780652697887</v>
      </c>
      <c r="I40" s="12">
        <f t="shared" ca="1" si="2"/>
        <v>4800.3780652697887</v>
      </c>
      <c r="J40" s="12">
        <f t="shared" ca="1" si="3"/>
        <v>9600.7561305395775</v>
      </c>
      <c r="K40" s="12">
        <f t="shared" ca="1" si="4"/>
        <v>6946.8214037539592</v>
      </c>
      <c r="L40" s="12">
        <f t="shared" ca="1" si="5"/>
        <v>230028.94152739126</v>
      </c>
      <c r="N40">
        <v>39</v>
      </c>
      <c r="O40">
        <v>356213.7271571171</v>
      </c>
    </row>
    <row r="41" spans="3:15" x14ac:dyDescent="0.45">
      <c r="C41" s="2"/>
      <c r="D41" s="2">
        <v>25</v>
      </c>
      <c r="E41" s="2">
        <f t="shared" si="6"/>
        <v>54</v>
      </c>
      <c r="F41" s="11">
        <f t="shared" ca="1" si="0"/>
        <v>4.881200370970025E-2</v>
      </c>
      <c r="G41" s="12">
        <f t="shared" ca="1" si="7"/>
        <v>167823.13790665669</v>
      </c>
      <c r="H41" s="12">
        <f t="shared" ca="1" si="1"/>
        <v>5034.6941371997009</v>
      </c>
      <c r="I41" s="12">
        <f t="shared" ca="1" si="2"/>
        <v>5034.6941371997009</v>
      </c>
      <c r="J41" s="12">
        <f t="shared" ca="1" si="3"/>
        <v>10069.388274399402</v>
      </c>
      <c r="K41" s="12">
        <f t="shared" ca="1" si="4"/>
        <v>7398.0569418893192</v>
      </c>
      <c r="L41" s="12">
        <f t="shared" ca="1" si="5"/>
        <v>247496.38674367999</v>
      </c>
      <c r="N41">
        <v>40</v>
      </c>
      <c r="O41">
        <v>354531.62882985611</v>
      </c>
    </row>
    <row r="42" spans="3:15" x14ac:dyDescent="0.45">
      <c r="C42" s="2"/>
      <c r="D42" s="2">
        <v>26</v>
      </c>
      <c r="E42" s="2">
        <f t="shared" si="6"/>
        <v>55</v>
      </c>
      <c r="F42" s="11">
        <f t="shared" ca="1" si="0"/>
        <v>3.89541859225098E-2</v>
      </c>
      <c r="G42" s="12">
        <f t="shared" ca="1" si="7"/>
        <v>174360.5516227716</v>
      </c>
      <c r="H42" s="12">
        <f t="shared" ca="1" si="1"/>
        <v>5230.8165486831476</v>
      </c>
      <c r="I42" s="12">
        <f t="shared" ca="1" si="2"/>
        <v>5230.8165486831476</v>
      </c>
      <c r="J42" s="12">
        <f t="shared" ca="1" si="3"/>
        <v>10461.633097366295</v>
      </c>
      <c r="K42" s="12">
        <f t="shared" ca="1" si="4"/>
        <v>7871.3181907860908</v>
      </c>
      <c r="L42" s="12">
        <f t="shared" ca="1" si="5"/>
        <v>265829.33803183236</v>
      </c>
      <c r="N42">
        <v>41</v>
      </c>
      <c r="O42">
        <v>349762.00012540811</v>
      </c>
    </row>
    <row r="43" spans="3:15" x14ac:dyDescent="0.45">
      <c r="C43" s="2"/>
      <c r="D43" s="2">
        <v>27</v>
      </c>
      <c r="E43" s="2">
        <f t="shared" si="6"/>
        <v>56</v>
      </c>
      <c r="F43" s="11">
        <f t="shared" ca="1" si="0"/>
        <v>3.9369095198475069E-2</v>
      </c>
      <c r="G43" s="12">
        <f t="shared" ca="1" si="7"/>
        <v>181224.96877846713</v>
      </c>
      <c r="H43" s="12">
        <f t="shared" ca="1" si="1"/>
        <v>5436.7490633540137</v>
      </c>
      <c r="I43" s="12">
        <f t="shared" ca="1" si="2"/>
        <v>5436.7490633540137</v>
      </c>
      <c r="J43" s="12">
        <f t="shared" ca="1" si="3"/>
        <v>10873.498126708027</v>
      </c>
      <c r="K43" s="12">
        <f t="shared" ca="1" si="4"/>
        <v>8363.0149463623075</v>
      </c>
      <c r="L43" s="12">
        <f t="shared" ca="1" si="5"/>
        <v>285065.85110490269</v>
      </c>
      <c r="N43">
        <v>42</v>
      </c>
      <c r="O43">
        <v>362448.70454069565</v>
      </c>
    </row>
    <row r="44" spans="3:15" x14ac:dyDescent="0.45">
      <c r="C44" s="2"/>
      <c r="D44" s="2">
        <v>28</v>
      </c>
      <c r="E44" s="2">
        <f t="shared" si="6"/>
        <v>57</v>
      </c>
      <c r="F44" s="11">
        <f t="shared" ca="1" si="0"/>
        <v>5.0975721059857412E-2</v>
      </c>
      <c r="G44" s="12">
        <f t="shared" ca="1" si="7"/>
        <v>190463.04223599963</v>
      </c>
      <c r="H44" s="12">
        <f t="shared" ca="1" si="1"/>
        <v>5713.8912670799891</v>
      </c>
      <c r="I44" s="12">
        <f t="shared" ca="1" si="2"/>
        <v>5713.8912670799891</v>
      </c>
      <c r="J44" s="12">
        <f t="shared" ca="1" si="3"/>
        <v>11427.782534159978</v>
      </c>
      <c r="K44" s="12">
        <f t="shared" ca="1" si="4"/>
        <v>8874.0693583175853</v>
      </c>
      <c r="L44" s="12">
        <f t="shared" ca="1" si="5"/>
        <v>305367.70299738023</v>
      </c>
      <c r="N44">
        <v>43</v>
      </c>
      <c r="O44">
        <v>350080.11946581438</v>
      </c>
    </row>
    <row r="45" spans="3:15" x14ac:dyDescent="0.45">
      <c r="C45" s="2"/>
      <c r="D45" s="2">
        <v>29</v>
      </c>
      <c r="E45" s="2">
        <f t="shared" si="6"/>
        <v>58</v>
      </c>
      <c r="F45" s="11">
        <f t="shared" ca="1" si="0"/>
        <v>4.0271394639434376E-2</v>
      </c>
      <c r="G45" s="12">
        <f t="shared" ca="1" si="7"/>
        <v>198133.25457411283</v>
      </c>
      <c r="H45" s="12">
        <f t="shared" ca="1" si="1"/>
        <v>5943.997637223385</v>
      </c>
      <c r="I45" s="12">
        <f t="shared" ca="1" si="2"/>
        <v>5943.997637223385</v>
      </c>
      <c r="J45" s="12">
        <f t="shared" ca="1" si="3"/>
        <v>11887.99527444677</v>
      </c>
      <c r="K45" s="12">
        <f t="shared" ca="1" si="4"/>
        <v>9411.1751374231044</v>
      </c>
      <c r="L45" s="12">
        <f t="shared" ca="1" si="5"/>
        <v>326666.87340925011</v>
      </c>
      <c r="N45">
        <v>44</v>
      </c>
      <c r="O45">
        <v>361395.1340460311</v>
      </c>
    </row>
    <row r="46" spans="3:15" x14ac:dyDescent="0.45">
      <c r="C46" s="2"/>
      <c r="D46" s="2">
        <v>30</v>
      </c>
      <c r="E46" s="2">
        <f t="shared" si="6"/>
        <v>59</v>
      </c>
      <c r="F46" s="11">
        <f t="shared" ca="1" si="0"/>
        <v>3.509385237980233E-2</v>
      </c>
      <c r="G46" s="12">
        <f t="shared" ca="1" si="7"/>
        <v>205086.51376166655</v>
      </c>
      <c r="H46" s="12">
        <f t="shared" ca="1" si="1"/>
        <v>6152.5954128499961</v>
      </c>
      <c r="I46" s="12">
        <f t="shared" ca="1" si="2"/>
        <v>6152.5954128499961</v>
      </c>
      <c r="J46" s="12">
        <f t="shared" ca="1" si="3"/>
        <v>12305.190825699992</v>
      </c>
      <c r="K46" s="12">
        <f t="shared" ca="1" si="4"/>
        <v>9969.9109153221034</v>
      </c>
      <c r="L46" s="12">
        <f t="shared" ca="1" si="5"/>
        <v>348941.97515027219</v>
      </c>
      <c r="N46">
        <v>45</v>
      </c>
      <c r="O46">
        <v>354165.45524567668</v>
      </c>
    </row>
    <row r="47" spans="3:15" x14ac:dyDescent="0.45">
      <c r="C47" s="2"/>
      <c r="D47" s="2">
        <v>31</v>
      </c>
      <c r="E47" s="2">
        <f t="shared" si="6"/>
        <v>60</v>
      </c>
      <c r="F47" s="11">
        <f t="shared" ca="1" si="0"/>
        <v>2.9891855316879108E-2</v>
      </c>
      <c r="G47" s="12">
        <f ca="1">G46*(1+F47)</f>
        <v>211216.93015847343</v>
      </c>
      <c r="H47" s="12">
        <f t="shared" ca="1" si="1"/>
        <v>6336.5079047542031</v>
      </c>
      <c r="I47" s="12">
        <f t="shared" ca="1" si="2"/>
        <v>6336.5079047542031</v>
      </c>
      <c r="J47" s="12">
        <f t="shared" ca="1" si="3"/>
        <v>12673.015809508406</v>
      </c>
      <c r="K47" s="12">
        <f t="shared" ca="1" si="4"/>
        <v>10548.254884130003</v>
      </c>
      <c r="L47" s="12">
        <f t="shared" ca="1" si="5"/>
        <v>372163.24584391061</v>
      </c>
      <c r="N47">
        <v>46</v>
      </c>
      <c r="O47">
        <v>353904.04862627201</v>
      </c>
    </row>
    <row r="48" spans="3:15" x14ac:dyDescent="0.45">
      <c r="C48" s="2"/>
      <c r="D48" s="2"/>
      <c r="E48" s="2"/>
      <c r="F48" s="11"/>
      <c r="G48" s="12"/>
      <c r="H48" s="12"/>
      <c r="I48" s="12"/>
      <c r="J48" s="12"/>
      <c r="K48" s="12"/>
      <c r="L48" s="12"/>
      <c r="N48">
        <v>47</v>
      </c>
      <c r="O48">
        <v>358967.03481846553</v>
      </c>
    </row>
    <row r="49" spans="3:15" x14ac:dyDescent="0.45">
      <c r="C49" s="2"/>
      <c r="D49" s="2"/>
      <c r="E49" s="2"/>
      <c r="F49" s="11"/>
      <c r="G49" s="12"/>
      <c r="H49" s="12"/>
      <c r="I49" s="12"/>
      <c r="J49" s="12"/>
      <c r="K49" s="12"/>
      <c r="L49" s="12"/>
      <c r="N49">
        <v>48</v>
      </c>
      <c r="O49">
        <v>360353.16976992326</v>
      </c>
    </row>
    <row r="50" spans="3:15" x14ac:dyDescent="0.45">
      <c r="C50" s="2"/>
      <c r="D50" s="2"/>
      <c r="E50" s="2"/>
      <c r="F50" s="11"/>
      <c r="G50" s="12"/>
      <c r="H50" s="12"/>
      <c r="I50" s="12"/>
      <c r="J50" s="12"/>
      <c r="K50" s="12"/>
      <c r="L50" s="12"/>
      <c r="N50">
        <v>49</v>
      </c>
      <c r="O50">
        <v>360641.97242109739</v>
      </c>
    </row>
    <row r="51" spans="3:15" x14ac:dyDescent="0.45">
      <c r="C51" s="2"/>
      <c r="D51" s="2"/>
      <c r="E51" s="2"/>
      <c r="F51" s="11"/>
      <c r="G51" s="12"/>
      <c r="H51" s="12"/>
      <c r="I51" s="12"/>
      <c r="J51" s="12"/>
      <c r="K51" s="12"/>
      <c r="L51" s="12"/>
      <c r="N51">
        <v>50</v>
      </c>
      <c r="O51">
        <v>343544.20494761656</v>
      </c>
    </row>
    <row r="52" spans="3:15" x14ac:dyDescent="0.45">
      <c r="C52" s="2"/>
      <c r="D52" s="2"/>
      <c r="E52" s="2"/>
      <c r="F52" s="11"/>
      <c r="G52" s="12"/>
      <c r="H52" s="12"/>
      <c r="I52" s="12"/>
      <c r="J52" s="12"/>
      <c r="K52" s="12"/>
      <c r="L52" s="12"/>
      <c r="N52">
        <v>51</v>
      </c>
      <c r="O52">
        <v>367221.36496629746</v>
      </c>
    </row>
    <row r="53" spans="3:15" x14ac:dyDescent="0.45">
      <c r="N53">
        <v>52</v>
      </c>
      <c r="O53">
        <v>370451.66123681527</v>
      </c>
    </row>
    <row r="54" spans="3:15" x14ac:dyDescent="0.45">
      <c r="N54">
        <v>53</v>
      </c>
      <c r="O54">
        <v>366113.10622417671</v>
      </c>
    </row>
    <row r="55" spans="3:15" x14ac:dyDescent="0.45">
      <c r="N55">
        <v>54</v>
      </c>
      <c r="O55">
        <v>353316.04991369345</v>
      </c>
    </row>
    <row r="56" spans="3:15" x14ac:dyDescent="0.45">
      <c r="N56">
        <v>55</v>
      </c>
      <c r="O56">
        <v>351674.53543962241</v>
      </c>
    </row>
    <row r="57" spans="3:15" x14ac:dyDescent="0.45">
      <c r="N57">
        <v>56</v>
      </c>
      <c r="O57">
        <v>367259.85006662802</v>
      </c>
    </row>
    <row r="58" spans="3:15" x14ac:dyDescent="0.45">
      <c r="N58">
        <v>57</v>
      </c>
      <c r="O58">
        <v>361599.16916649841</v>
      </c>
    </row>
    <row r="59" spans="3:15" x14ac:dyDescent="0.45">
      <c r="N59">
        <v>58</v>
      </c>
      <c r="O59">
        <v>363210.2216500988</v>
      </c>
    </row>
    <row r="60" spans="3:15" x14ac:dyDescent="0.45">
      <c r="N60">
        <v>59</v>
      </c>
      <c r="O60">
        <v>364301.79224337434</v>
      </c>
    </row>
    <row r="61" spans="3:15" x14ac:dyDescent="0.45">
      <c r="N61">
        <v>60</v>
      </c>
      <c r="O61">
        <v>356843.87710750732</v>
      </c>
    </row>
    <row r="62" spans="3:15" x14ac:dyDescent="0.45">
      <c r="N62">
        <v>61</v>
      </c>
      <c r="O62">
        <v>349646.99593652831</v>
      </c>
    </row>
    <row r="63" spans="3:15" x14ac:dyDescent="0.45">
      <c r="N63">
        <v>62</v>
      </c>
      <c r="O63">
        <v>371487.78918748297</v>
      </c>
    </row>
    <row r="64" spans="3:15" x14ac:dyDescent="0.45">
      <c r="N64">
        <v>63</v>
      </c>
      <c r="O64">
        <v>352948.82004747586</v>
      </c>
    </row>
    <row r="65" spans="14:15" x14ac:dyDescent="0.45">
      <c r="N65">
        <v>64</v>
      </c>
      <c r="O65">
        <v>358162.01033184543</v>
      </c>
    </row>
    <row r="66" spans="14:15" x14ac:dyDescent="0.45">
      <c r="N66">
        <v>65</v>
      </c>
      <c r="O66">
        <v>369601.60218402022</v>
      </c>
    </row>
    <row r="67" spans="14:15" x14ac:dyDescent="0.45">
      <c r="N67">
        <v>66</v>
      </c>
      <c r="O67">
        <v>383846.73056098225</v>
      </c>
    </row>
    <row r="68" spans="14:15" x14ac:dyDescent="0.45">
      <c r="N68">
        <v>67</v>
      </c>
      <c r="O68">
        <v>364980.7225557029</v>
      </c>
    </row>
    <row r="69" spans="14:15" x14ac:dyDescent="0.45">
      <c r="N69">
        <v>68</v>
      </c>
      <c r="O69">
        <v>375005.69928872382</v>
      </c>
    </row>
    <row r="70" spans="14:15" x14ac:dyDescent="0.45">
      <c r="N70">
        <v>69</v>
      </c>
      <c r="O70">
        <v>362005.49023781007</v>
      </c>
    </row>
    <row r="71" spans="14:15" x14ac:dyDescent="0.45">
      <c r="N71">
        <v>70</v>
      </c>
      <c r="O71">
        <v>351504.63404884131</v>
      </c>
    </row>
    <row r="72" spans="14:15" x14ac:dyDescent="0.45">
      <c r="N72">
        <v>71</v>
      </c>
      <c r="O72">
        <v>363169.64781704184</v>
      </c>
    </row>
    <row r="73" spans="14:15" x14ac:dyDescent="0.45">
      <c r="N73">
        <v>72</v>
      </c>
      <c r="O73">
        <v>363092.53160360391</v>
      </c>
    </row>
    <row r="74" spans="14:15" x14ac:dyDescent="0.45">
      <c r="N74">
        <v>73</v>
      </c>
      <c r="O74">
        <v>349768.26065961813</v>
      </c>
    </row>
    <row r="75" spans="14:15" x14ac:dyDescent="0.45">
      <c r="N75">
        <v>74</v>
      </c>
      <c r="O75">
        <v>363127.85301597149</v>
      </c>
    </row>
    <row r="76" spans="14:15" x14ac:dyDescent="0.45">
      <c r="N76">
        <v>75</v>
      </c>
      <c r="O76">
        <v>362839.39501701383</v>
      </c>
    </row>
    <row r="77" spans="14:15" x14ac:dyDescent="0.45">
      <c r="N77">
        <v>76</v>
      </c>
      <c r="O77">
        <v>372229.77845276654</v>
      </c>
    </row>
    <row r="78" spans="14:15" x14ac:dyDescent="0.45">
      <c r="N78">
        <v>77</v>
      </c>
      <c r="O78">
        <v>380500.78251061193</v>
      </c>
    </row>
    <row r="79" spans="14:15" x14ac:dyDescent="0.45">
      <c r="N79">
        <v>78</v>
      </c>
      <c r="O79">
        <v>369203.50592102797</v>
      </c>
    </row>
    <row r="80" spans="14:15" x14ac:dyDescent="0.45">
      <c r="N80">
        <v>79</v>
      </c>
      <c r="O80">
        <v>355986.43705078092</v>
      </c>
    </row>
    <row r="81" spans="14:15" x14ac:dyDescent="0.45">
      <c r="N81">
        <v>80</v>
      </c>
      <c r="O81">
        <v>357749.18824305991</v>
      </c>
    </row>
    <row r="82" spans="14:15" x14ac:dyDescent="0.45">
      <c r="N82">
        <v>81</v>
      </c>
      <c r="O82">
        <v>362386.92087473057</v>
      </c>
    </row>
    <row r="83" spans="14:15" x14ac:dyDescent="0.45">
      <c r="N83">
        <v>82</v>
      </c>
      <c r="O83">
        <v>365526.3059633493</v>
      </c>
    </row>
    <row r="84" spans="14:15" x14ac:dyDescent="0.45">
      <c r="N84">
        <v>83</v>
      </c>
      <c r="O84">
        <v>350315.22556863585</v>
      </c>
    </row>
    <row r="85" spans="14:15" x14ac:dyDescent="0.45">
      <c r="N85">
        <v>84</v>
      </c>
      <c r="O85">
        <v>369214.21326042031</v>
      </c>
    </row>
    <row r="86" spans="14:15" x14ac:dyDescent="0.45">
      <c r="N86">
        <v>85</v>
      </c>
      <c r="O86">
        <v>367645.29243506526</v>
      </c>
    </row>
    <row r="87" spans="14:15" x14ac:dyDescent="0.45">
      <c r="N87">
        <v>86</v>
      </c>
      <c r="O87">
        <v>356842.38257673802</v>
      </c>
    </row>
    <row r="88" spans="14:15" x14ac:dyDescent="0.45">
      <c r="N88">
        <v>87</v>
      </c>
      <c r="O88">
        <v>365331.01008411485</v>
      </c>
    </row>
    <row r="89" spans="14:15" x14ac:dyDescent="0.45">
      <c r="N89">
        <v>88</v>
      </c>
      <c r="O89">
        <v>348195.2370303084</v>
      </c>
    </row>
    <row r="90" spans="14:15" x14ac:dyDescent="0.45">
      <c r="N90">
        <v>89</v>
      </c>
      <c r="O90">
        <v>360713.78688171512</v>
      </c>
    </row>
    <row r="91" spans="14:15" x14ac:dyDescent="0.45">
      <c r="N91">
        <v>90</v>
      </c>
      <c r="O91">
        <v>354337.43165987346</v>
      </c>
    </row>
    <row r="92" spans="14:15" x14ac:dyDescent="0.45">
      <c r="N92">
        <v>91</v>
      </c>
      <c r="O92">
        <v>368911.21625158162</v>
      </c>
    </row>
    <row r="93" spans="14:15" x14ac:dyDescent="0.45">
      <c r="N93">
        <v>92</v>
      </c>
      <c r="O93">
        <v>360700.12885407434</v>
      </c>
    </row>
    <row r="94" spans="14:15" x14ac:dyDescent="0.45">
      <c r="N94">
        <v>93</v>
      </c>
      <c r="O94">
        <v>365036.92003405618</v>
      </c>
    </row>
    <row r="95" spans="14:15" x14ac:dyDescent="0.45">
      <c r="N95">
        <v>94</v>
      </c>
      <c r="O95">
        <v>357420.39852760814</v>
      </c>
    </row>
    <row r="96" spans="14:15" x14ac:dyDescent="0.45">
      <c r="N96">
        <v>95</v>
      </c>
      <c r="O96">
        <v>360772.86694827711</v>
      </c>
    </row>
    <row r="97" spans="14:15" x14ac:dyDescent="0.45">
      <c r="N97">
        <v>96</v>
      </c>
      <c r="O97">
        <v>360017.74803442881</v>
      </c>
    </row>
    <row r="98" spans="14:15" x14ac:dyDescent="0.45">
      <c r="N98">
        <v>97</v>
      </c>
      <c r="O98">
        <v>362821.57339561131</v>
      </c>
    </row>
    <row r="99" spans="14:15" x14ac:dyDescent="0.45">
      <c r="N99">
        <v>98</v>
      </c>
      <c r="O99">
        <v>359792.2300469887</v>
      </c>
    </row>
    <row r="100" spans="14:15" x14ac:dyDescent="0.45">
      <c r="N100">
        <v>99</v>
      </c>
      <c r="O100">
        <v>368157.10089640669</v>
      </c>
    </row>
    <row r="101" spans="14:15" x14ac:dyDescent="0.45">
      <c r="N101">
        <v>100</v>
      </c>
      <c r="O101">
        <v>355540.1631681326</v>
      </c>
    </row>
    <row r="102" spans="14:15" x14ac:dyDescent="0.45">
      <c r="N102">
        <v>101</v>
      </c>
      <c r="O102">
        <v>369433.94084047462</v>
      </c>
    </row>
    <row r="103" spans="14:15" x14ac:dyDescent="0.45">
      <c r="N103">
        <v>102</v>
      </c>
      <c r="O103">
        <v>352655.69427463744</v>
      </c>
    </row>
    <row r="104" spans="14:15" x14ac:dyDescent="0.45">
      <c r="N104">
        <v>103</v>
      </c>
      <c r="O104">
        <v>351495.85046345723</v>
      </c>
    </row>
    <row r="105" spans="14:15" x14ac:dyDescent="0.45">
      <c r="N105">
        <v>104</v>
      </c>
      <c r="O105">
        <v>363981.9249143718</v>
      </c>
    </row>
    <row r="106" spans="14:15" x14ac:dyDescent="0.45">
      <c r="N106">
        <v>105</v>
      </c>
      <c r="O106">
        <v>369402.85988007573</v>
      </c>
    </row>
    <row r="107" spans="14:15" x14ac:dyDescent="0.45">
      <c r="N107">
        <v>106</v>
      </c>
      <c r="O107">
        <v>371228.53974552086</v>
      </c>
    </row>
    <row r="108" spans="14:15" x14ac:dyDescent="0.45">
      <c r="N108">
        <v>107</v>
      </c>
      <c r="O108">
        <v>372546.35045928723</v>
      </c>
    </row>
    <row r="109" spans="14:15" x14ac:dyDescent="0.45">
      <c r="N109">
        <v>108</v>
      </c>
      <c r="O109">
        <v>367057.86898632417</v>
      </c>
    </row>
    <row r="110" spans="14:15" x14ac:dyDescent="0.45">
      <c r="N110">
        <v>109</v>
      </c>
      <c r="O110">
        <v>355480.14286703884</v>
      </c>
    </row>
    <row r="111" spans="14:15" x14ac:dyDescent="0.45">
      <c r="N111">
        <v>110</v>
      </c>
      <c r="O111">
        <v>363683.84037249553</v>
      </c>
    </row>
    <row r="112" spans="14:15" x14ac:dyDescent="0.45">
      <c r="N112">
        <v>111</v>
      </c>
      <c r="O112">
        <v>361125.81355188345</v>
      </c>
    </row>
    <row r="113" spans="14:15" x14ac:dyDescent="0.45">
      <c r="N113">
        <v>112</v>
      </c>
      <c r="O113">
        <v>366506.22996042273</v>
      </c>
    </row>
    <row r="114" spans="14:15" x14ac:dyDescent="0.45">
      <c r="N114">
        <v>113</v>
      </c>
      <c r="O114">
        <v>365003.50240646786</v>
      </c>
    </row>
    <row r="115" spans="14:15" x14ac:dyDescent="0.45">
      <c r="N115">
        <v>114</v>
      </c>
      <c r="O115">
        <v>357044.91107774869</v>
      </c>
    </row>
    <row r="116" spans="14:15" x14ac:dyDescent="0.45">
      <c r="N116">
        <v>115</v>
      </c>
      <c r="O116">
        <v>362447.19561946462</v>
      </c>
    </row>
    <row r="117" spans="14:15" x14ac:dyDescent="0.45">
      <c r="N117">
        <v>116</v>
      </c>
      <c r="O117">
        <v>362670.35241424519</v>
      </c>
    </row>
    <row r="118" spans="14:15" x14ac:dyDescent="0.45">
      <c r="N118">
        <v>117</v>
      </c>
      <c r="O118">
        <v>358383.73564585368</v>
      </c>
    </row>
    <row r="119" spans="14:15" x14ac:dyDescent="0.45">
      <c r="N119">
        <v>118</v>
      </c>
      <c r="O119">
        <v>370136.30986593885</v>
      </c>
    </row>
    <row r="120" spans="14:15" x14ac:dyDescent="0.45">
      <c r="N120">
        <v>119</v>
      </c>
      <c r="O120">
        <v>359094.76653310523</v>
      </c>
    </row>
    <row r="121" spans="14:15" x14ac:dyDescent="0.45">
      <c r="N121">
        <v>120</v>
      </c>
      <c r="O121">
        <v>368559.23057089257</v>
      </c>
    </row>
    <row r="122" spans="14:15" x14ac:dyDescent="0.45">
      <c r="N122">
        <v>121</v>
      </c>
      <c r="O122">
        <v>372402.23006527673</v>
      </c>
    </row>
    <row r="123" spans="14:15" x14ac:dyDescent="0.45">
      <c r="N123">
        <v>122</v>
      </c>
      <c r="O123">
        <v>368288.73948216863</v>
      </c>
    </row>
    <row r="124" spans="14:15" x14ac:dyDescent="0.45">
      <c r="N124">
        <v>123</v>
      </c>
      <c r="O124">
        <v>361523.79049638432</v>
      </c>
    </row>
    <row r="125" spans="14:15" x14ac:dyDescent="0.45">
      <c r="N125">
        <v>124</v>
      </c>
      <c r="O125">
        <v>370985.33042685268</v>
      </c>
    </row>
    <row r="126" spans="14:15" x14ac:dyDescent="0.45">
      <c r="N126">
        <v>125</v>
      </c>
      <c r="O126">
        <v>374080.3291644167</v>
      </c>
    </row>
    <row r="127" spans="14:15" x14ac:dyDescent="0.45">
      <c r="N127">
        <v>126</v>
      </c>
      <c r="O127">
        <v>372454.73840433551</v>
      </c>
    </row>
    <row r="128" spans="14:15" x14ac:dyDescent="0.45">
      <c r="N128">
        <v>127</v>
      </c>
      <c r="O128">
        <v>353407.99065142684</v>
      </c>
    </row>
    <row r="129" spans="14:15" x14ac:dyDescent="0.45">
      <c r="N129">
        <v>128</v>
      </c>
      <c r="O129">
        <v>354627.74285052874</v>
      </c>
    </row>
    <row r="130" spans="14:15" x14ac:dyDescent="0.45">
      <c r="N130">
        <v>129</v>
      </c>
      <c r="O130">
        <v>360793.04706656578</v>
      </c>
    </row>
    <row r="131" spans="14:15" x14ac:dyDescent="0.45">
      <c r="N131">
        <v>130</v>
      </c>
      <c r="O131">
        <v>353086.26143854461</v>
      </c>
    </row>
    <row r="132" spans="14:15" x14ac:dyDescent="0.45">
      <c r="N132">
        <v>131</v>
      </c>
      <c r="O132">
        <v>371047.086036633</v>
      </c>
    </row>
    <row r="133" spans="14:15" x14ac:dyDescent="0.45">
      <c r="N133">
        <v>132</v>
      </c>
      <c r="O133">
        <v>366522.23506101372</v>
      </c>
    </row>
    <row r="134" spans="14:15" x14ac:dyDescent="0.45">
      <c r="N134">
        <v>133</v>
      </c>
      <c r="O134">
        <v>354555.80792722787</v>
      </c>
    </row>
    <row r="135" spans="14:15" x14ac:dyDescent="0.45">
      <c r="N135">
        <v>134</v>
      </c>
      <c r="O135">
        <v>364168.64572909975</v>
      </c>
    </row>
    <row r="136" spans="14:15" x14ac:dyDescent="0.45">
      <c r="N136">
        <v>135</v>
      </c>
      <c r="O136">
        <v>366364.26041769783</v>
      </c>
    </row>
    <row r="137" spans="14:15" x14ac:dyDescent="0.45">
      <c r="N137">
        <v>136</v>
      </c>
      <c r="O137">
        <v>372080.32222883339</v>
      </c>
    </row>
    <row r="138" spans="14:15" x14ac:dyDescent="0.45">
      <c r="N138">
        <v>137</v>
      </c>
      <c r="O138">
        <v>366217.62098281347</v>
      </c>
    </row>
    <row r="139" spans="14:15" x14ac:dyDescent="0.45">
      <c r="N139">
        <v>138</v>
      </c>
      <c r="O139">
        <v>357566.49774054199</v>
      </c>
    </row>
    <row r="140" spans="14:15" x14ac:dyDescent="0.45">
      <c r="N140">
        <v>139</v>
      </c>
      <c r="O140">
        <v>368308.85433583765</v>
      </c>
    </row>
    <row r="141" spans="14:15" x14ac:dyDescent="0.45">
      <c r="N141">
        <v>140</v>
      </c>
      <c r="O141">
        <v>378943.24108688865</v>
      </c>
    </row>
    <row r="142" spans="14:15" x14ac:dyDescent="0.45">
      <c r="N142">
        <v>141</v>
      </c>
      <c r="O142">
        <v>361709.90306188143</v>
      </c>
    </row>
    <row r="143" spans="14:15" x14ac:dyDescent="0.45">
      <c r="N143">
        <v>142</v>
      </c>
      <c r="O143">
        <v>354092.78026341385</v>
      </c>
    </row>
    <row r="144" spans="14:15" x14ac:dyDescent="0.45">
      <c r="N144">
        <v>143</v>
      </c>
      <c r="O144">
        <v>338445.16499262903</v>
      </c>
    </row>
    <row r="145" spans="14:15" x14ac:dyDescent="0.45">
      <c r="N145">
        <v>144</v>
      </c>
      <c r="O145">
        <v>361391.68070054316</v>
      </c>
    </row>
    <row r="146" spans="14:15" x14ac:dyDescent="0.45">
      <c r="N146">
        <v>145</v>
      </c>
      <c r="O146">
        <v>353508.81754394621</v>
      </c>
    </row>
    <row r="147" spans="14:15" x14ac:dyDescent="0.45">
      <c r="N147">
        <v>146</v>
      </c>
      <c r="O147">
        <v>368437.24631846056</v>
      </c>
    </row>
    <row r="148" spans="14:15" x14ac:dyDescent="0.45">
      <c r="N148">
        <v>147</v>
      </c>
      <c r="O148">
        <v>357039.33084034064</v>
      </c>
    </row>
    <row r="149" spans="14:15" x14ac:dyDescent="0.45">
      <c r="N149">
        <v>148</v>
      </c>
      <c r="O149">
        <v>352916.80392064515</v>
      </c>
    </row>
    <row r="150" spans="14:15" x14ac:dyDescent="0.45">
      <c r="N150">
        <v>149</v>
      </c>
      <c r="O150">
        <v>351243.0157761533</v>
      </c>
    </row>
    <row r="151" spans="14:15" x14ac:dyDescent="0.45">
      <c r="N151">
        <v>150</v>
      </c>
      <c r="O151">
        <v>368515.5497256536</v>
      </c>
    </row>
    <row r="152" spans="14:15" x14ac:dyDescent="0.45">
      <c r="N152">
        <v>151</v>
      </c>
      <c r="O152">
        <v>370673.04323864583</v>
      </c>
    </row>
    <row r="153" spans="14:15" x14ac:dyDescent="0.45">
      <c r="N153">
        <v>152</v>
      </c>
      <c r="O153">
        <v>351804.4736132184</v>
      </c>
    </row>
    <row r="154" spans="14:15" x14ac:dyDescent="0.45">
      <c r="N154">
        <v>153</v>
      </c>
      <c r="O154">
        <v>371609.19877651468</v>
      </c>
    </row>
    <row r="155" spans="14:15" x14ac:dyDescent="0.45">
      <c r="N155">
        <v>154</v>
      </c>
      <c r="O155">
        <v>366791.92070186185</v>
      </c>
    </row>
    <row r="156" spans="14:15" x14ac:dyDescent="0.45">
      <c r="N156">
        <v>155</v>
      </c>
      <c r="O156">
        <v>362716.77851940534</v>
      </c>
    </row>
    <row r="157" spans="14:15" x14ac:dyDescent="0.45">
      <c r="N157">
        <v>156</v>
      </c>
      <c r="O157">
        <v>357303.3085456806</v>
      </c>
    </row>
    <row r="158" spans="14:15" x14ac:dyDescent="0.45">
      <c r="N158">
        <v>157</v>
      </c>
      <c r="O158">
        <v>368071.12816673314</v>
      </c>
    </row>
    <row r="159" spans="14:15" x14ac:dyDescent="0.45">
      <c r="N159">
        <v>158</v>
      </c>
      <c r="O159">
        <v>348914.11208468914</v>
      </c>
    </row>
    <row r="160" spans="14:15" x14ac:dyDescent="0.45">
      <c r="N160">
        <v>159</v>
      </c>
      <c r="O160">
        <v>364123.10392338707</v>
      </c>
    </row>
    <row r="161" spans="14:15" x14ac:dyDescent="0.45">
      <c r="N161">
        <v>160</v>
      </c>
      <c r="O161">
        <v>373675.40115799999</v>
      </c>
    </row>
    <row r="162" spans="14:15" x14ac:dyDescent="0.45">
      <c r="N162">
        <v>161</v>
      </c>
      <c r="O162">
        <v>368417.9317891458</v>
      </c>
    </row>
    <row r="163" spans="14:15" x14ac:dyDescent="0.45">
      <c r="N163">
        <v>162</v>
      </c>
      <c r="O163">
        <v>364506.92791906663</v>
      </c>
    </row>
    <row r="164" spans="14:15" x14ac:dyDescent="0.45">
      <c r="N164">
        <v>163</v>
      </c>
      <c r="O164">
        <v>358537.72902058996</v>
      </c>
    </row>
    <row r="165" spans="14:15" x14ac:dyDescent="0.45">
      <c r="N165">
        <v>164</v>
      </c>
      <c r="O165">
        <v>363148.85231735429</v>
      </c>
    </row>
    <row r="166" spans="14:15" x14ac:dyDescent="0.45">
      <c r="N166">
        <v>165</v>
      </c>
      <c r="O166">
        <v>364208.17634482641</v>
      </c>
    </row>
    <row r="167" spans="14:15" x14ac:dyDescent="0.45">
      <c r="N167">
        <v>166</v>
      </c>
      <c r="O167">
        <v>342032.87708391977</v>
      </c>
    </row>
    <row r="168" spans="14:15" x14ac:dyDescent="0.45">
      <c r="N168">
        <v>167</v>
      </c>
      <c r="O168">
        <v>359135.48010136042</v>
      </c>
    </row>
    <row r="169" spans="14:15" x14ac:dyDescent="0.45">
      <c r="N169">
        <v>168</v>
      </c>
      <c r="O169">
        <v>356515.08452990692</v>
      </c>
    </row>
    <row r="170" spans="14:15" x14ac:dyDescent="0.45">
      <c r="N170">
        <v>169</v>
      </c>
      <c r="O170">
        <v>368030.79068365792</v>
      </c>
    </row>
    <row r="171" spans="14:15" x14ac:dyDescent="0.45">
      <c r="N171">
        <v>170</v>
      </c>
      <c r="O171">
        <v>370237.22628059599</v>
      </c>
    </row>
    <row r="172" spans="14:15" x14ac:dyDescent="0.45">
      <c r="N172">
        <v>171</v>
      </c>
      <c r="O172">
        <v>368324.04967197723</v>
      </c>
    </row>
    <row r="173" spans="14:15" x14ac:dyDescent="0.45">
      <c r="N173">
        <v>172</v>
      </c>
      <c r="O173">
        <v>348390.40614212852</v>
      </c>
    </row>
    <row r="174" spans="14:15" x14ac:dyDescent="0.45">
      <c r="N174">
        <v>173</v>
      </c>
      <c r="O174">
        <v>358363.07008326717</v>
      </c>
    </row>
    <row r="175" spans="14:15" x14ac:dyDescent="0.45">
      <c r="N175">
        <v>174</v>
      </c>
      <c r="O175">
        <v>351463.15497438167</v>
      </c>
    </row>
    <row r="176" spans="14:15" x14ac:dyDescent="0.45">
      <c r="N176">
        <v>175</v>
      </c>
      <c r="O176">
        <v>365884.07729547133</v>
      </c>
    </row>
    <row r="177" spans="14:15" x14ac:dyDescent="0.45">
      <c r="N177">
        <v>176</v>
      </c>
      <c r="O177">
        <v>355633.19037795224</v>
      </c>
    </row>
    <row r="178" spans="14:15" x14ac:dyDescent="0.45">
      <c r="N178">
        <v>177</v>
      </c>
      <c r="O178">
        <v>353176.14918165433</v>
      </c>
    </row>
    <row r="179" spans="14:15" x14ac:dyDescent="0.45">
      <c r="N179">
        <v>178</v>
      </c>
      <c r="O179">
        <v>353263.63702062116</v>
      </c>
    </row>
    <row r="180" spans="14:15" x14ac:dyDescent="0.45">
      <c r="N180">
        <v>179</v>
      </c>
      <c r="O180">
        <v>367854.13999513839</v>
      </c>
    </row>
    <row r="181" spans="14:15" x14ac:dyDescent="0.45">
      <c r="N181">
        <v>180</v>
      </c>
      <c r="O181">
        <v>366032.41677741893</v>
      </c>
    </row>
    <row r="182" spans="14:15" x14ac:dyDescent="0.45">
      <c r="N182">
        <v>181</v>
      </c>
      <c r="O182">
        <v>364212.63915115286</v>
      </c>
    </row>
    <row r="183" spans="14:15" x14ac:dyDescent="0.45">
      <c r="N183">
        <v>182</v>
      </c>
      <c r="O183">
        <v>359218.1896945113</v>
      </c>
    </row>
    <row r="184" spans="14:15" x14ac:dyDescent="0.45">
      <c r="N184">
        <v>183</v>
      </c>
      <c r="O184">
        <v>366670.79896421661</v>
      </c>
    </row>
    <row r="185" spans="14:15" x14ac:dyDescent="0.45">
      <c r="N185">
        <v>184</v>
      </c>
      <c r="O185">
        <v>369619.4911112418</v>
      </c>
    </row>
    <row r="186" spans="14:15" x14ac:dyDescent="0.45">
      <c r="N186">
        <v>185</v>
      </c>
      <c r="O186">
        <v>366907.74173359718</v>
      </c>
    </row>
    <row r="187" spans="14:15" x14ac:dyDescent="0.45">
      <c r="N187">
        <v>186</v>
      </c>
      <c r="O187">
        <v>351580.97667249956</v>
      </c>
    </row>
    <row r="188" spans="14:15" x14ac:dyDescent="0.45">
      <c r="N188">
        <v>187</v>
      </c>
      <c r="O188">
        <v>360245.2905106282</v>
      </c>
    </row>
    <row r="189" spans="14:15" x14ac:dyDescent="0.45">
      <c r="N189">
        <v>188</v>
      </c>
      <c r="O189">
        <v>365297.7862934497</v>
      </c>
    </row>
    <row r="190" spans="14:15" x14ac:dyDescent="0.45">
      <c r="N190">
        <v>189</v>
      </c>
      <c r="O190">
        <v>350436.98136889335</v>
      </c>
    </row>
    <row r="191" spans="14:15" x14ac:dyDescent="0.45">
      <c r="N191">
        <v>190</v>
      </c>
      <c r="O191">
        <v>348110.21252763603</v>
      </c>
    </row>
    <row r="192" spans="14:15" x14ac:dyDescent="0.45">
      <c r="N192">
        <v>191</v>
      </c>
      <c r="O192">
        <v>361068.74803523044</v>
      </c>
    </row>
    <row r="193" spans="14:15" x14ac:dyDescent="0.45">
      <c r="N193">
        <v>192</v>
      </c>
      <c r="O193">
        <v>363900.63762864668</v>
      </c>
    </row>
    <row r="194" spans="14:15" x14ac:dyDescent="0.45">
      <c r="N194">
        <v>193</v>
      </c>
      <c r="O194">
        <v>352441.55226300837</v>
      </c>
    </row>
    <row r="195" spans="14:15" x14ac:dyDescent="0.45">
      <c r="N195">
        <v>194</v>
      </c>
      <c r="O195">
        <v>353194.29416500241</v>
      </c>
    </row>
    <row r="196" spans="14:15" x14ac:dyDescent="0.45">
      <c r="N196">
        <v>195</v>
      </c>
      <c r="O196">
        <v>355710.2869163361</v>
      </c>
    </row>
    <row r="197" spans="14:15" x14ac:dyDescent="0.45">
      <c r="N197">
        <v>196</v>
      </c>
      <c r="O197">
        <v>360168.75182723411</v>
      </c>
    </row>
    <row r="198" spans="14:15" x14ac:dyDescent="0.45">
      <c r="N198">
        <v>197</v>
      </c>
      <c r="O198">
        <v>370721.82206853287</v>
      </c>
    </row>
    <row r="199" spans="14:15" x14ac:dyDescent="0.45">
      <c r="N199">
        <v>198</v>
      </c>
      <c r="O199">
        <v>366505.00919847906</v>
      </c>
    </row>
    <row r="200" spans="14:15" x14ac:dyDescent="0.45">
      <c r="N200">
        <v>199</v>
      </c>
      <c r="O200">
        <v>355634.88088305673</v>
      </c>
    </row>
    <row r="201" spans="14:15" x14ac:dyDescent="0.45">
      <c r="N201">
        <v>200</v>
      </c>
      <c r="O201">
        <v>359602.57575278974</v>
      </c>
    </row>
    <row r="202" spans="14:15" x14ac:dyDescent="0.45">
      <c r="N202">
        <v>201</v>
      </c>
      <c r="O202">
        <v>376447.89515517425</v>
      </c>
    </row>
    <row r="203" spans="14:15" x14ac:dyDescent="0.45">
      <c r="N203">
        <v>202</v>
      </c>
      <c r="O203">
        <v>359302.28715813911</v>
      </c>
    </row>
    <row r="204" spans="14:15" x14ac:dyDescent="0.45">
      <c r="N204">
        <v>203</v>
      </c>
      <c r="O204">
        <v>362012.44009762612</v>
      </c>
    </row>
    <row r="205" spans="14:15" x14ac:dyDescent="0.45">
      <c r="N205">
        <v>204</v>
      </c>
      <c r="O205">
        <v>374716.82971874927</v>
      </c>
    </row>
    <row r="206" spans="14:15" x14ac:dyDescent="0.45">
      <c r="N206">
        <v>205</v>
      </c>
      <c r="O206">
        <v>349357.38813595905</v>
      </c>
    </row>
    <row r="207" spans="14:15" x14ac:dyDescent="0.45">
      <c r="N207">
        <v>206</v>
      </c>
      <c r="O207">
        <v>361134.63300279406</v>
      </c>
    </row>
    <row r="208" spans="14:15" x14ac:dyDescent="0.45">
      <c r="N208">
        <v>207</v>
      </c>
      <c r="O208">
        <v>354859.45958042186</v>
      </c>
    </row>
    <row r="209" spans="14:15" x14ac:dyDescent="0.45">
      <c r="N209">
        <v>208</v>
      </c>
      <c r="O209">
        <v>353041.79565776163</v>
      </c>
    </row>
    <row r="210" spans="14:15" x14ac:dyDescent="0.45">
      <c r="N210">
        <v>209</v>
      </c>
      <c r="O210">
        <v>350860.73404733546</v>
      </c>
    </row>
    <row r="211" spans="14:15" x14ac:dyDescent="0.45">
      <c r="N211">
        <v>210</v>
      </c>
      <c r="O211">
        <v>355288.28042742884</v>
      </c>
    </row>
    <row r="212" spans="14:15" x14ac:dyDescent="0.45">
      <c r="N212">
        <v>211</v>
      </c>
      <c r="O212">
        <v>369800.15993445128</v>
      </c>
    </row>
    <row r="213" spans="14:15" x14ac:dyDescent="0.45">
      <c r="N213">
        <v>212</v>
      </c>
      <c r="O213">
        <v>360310.45464722335</v>
      </c>
    </row>
    <row r="214" spans="14:15" x14ac:dyDescent="0.45">
      <c r="N214">
        <v>213</v>
      </c>
      <c r="O214">
        <v>364169.67843290826</v>
      </c>
    </row>
    <row r="215" spans="14:15" x14ac:dyDescent="0.45">
      <c r="N215">
        <v>214</v>
      </c>
      <c r="O215">
        <v>361430.18842459447</v>
      </c>
    </row>
    <row r="216" spans="14:15" x14ac:dyDescent="0.45">
      <c r="N216">
        <v>215</v>
      </c>
      <c r="O216">
        <v>362777.68782265892</v>
      </c>
    </row>
    <row r="217" spans="14:15" x14ac:dyDescent="0.45">
      <c r="N217">
        <v>216</v>
      </c>
      <c r="O217">
        <v>350127.24220693985</v>
      </c>
    </row>
    <row r="218" spans="14:15" x14ac:dyDescent="0.45">
      <c r="N218">
        <v>217</v>
      </c>
      <c r="O218">
        <v>362640.999462671</v>
      </c>
    </row>
    <row r="219" spans="14:15" x14ac:dyDescent="0.45">
      <c r="N219">
        <v>218</v>
      </c>
      <c r="O219">
        <v>357701.95590869826</v>
      </c>
    </row>
    <row r="220" spans="14:15" x14ac:dyDescent="0.45">
      <c r="N220">
        <v>219</v>
      </c>
      <c r="O220">
        <v>362173.33381299942</v>
      </c>
    </row>
    <row r="221" spans="14:15" x14ac:dyDescent="0.45">
      <c r="N221">
        <v>220</v>
      </c>
      <c r="O221">
        <v>356138.00993419561</v>
      </c>
    </row>
    <row r="222" spans="14:15" x14ac:dyDescent="0.45">
      <c r="N222">
        <v>221</v>
      </c>
      <c r="O222">
        <v>361622.10034948558</v>
      </c>
    </row>
    <row r="223" spans="14:15" x14ac:dyDescent="0.45">
      <c r="N223">
        <v>222</v>
      </c>
      <c r="O223">
        <v>349050.86222186044</v>
      </c>
    </row>
    <row r="224" spans="14:15" x14ac:dyDescent="0.45">
      <c r="N224">
        <v>223</v>
      </c>
      <c r="O224">
        <v>365901.43307904695</v>
      </c>
    </row>
    <row r="225" spans="14:15" x14ac:dyDescent="0.45">
      <c r="N225">
        <v>224</v>
      </c>
      <c r="O225">
        <v>350762.49940581294</v>
      </c>
    </row>
    <row r="226" spans="14:15" x14ac:dyDescent="0.45">
      <c r="N226">
        <v>225</v>
      </c>
      <c r="O226">
        <v>361759.75598529301</v>
      </c>
    </row>
    <row r="227" spans="14:15" x14ac:dyDescent="0.45">
      <c r="N227">
        <v>226</v>
      </c>
      <c r="O227">
        <v>353697.6463363301</v>
      </c>
    </row>
    <row r="228" spans="14:15" x14ac:dyDescent="0.45">
      <c r="N228">
        <v>227</v>
      </c>
      <c r="O228">
        <v>368108.00488919142</v>
      </c>
    </row>
    <row r="229" spans="14:15" x14ac:dyDescent="0.45">
      <c r="N229">
        <v>228</v>
      </c>
      <c r="O229">
        <v>354036.58884116827</v>
      </c>
    </row>
    <row r="230" spans="14:15" x14ac:dyDescent="0.45">
      <c r="N230">
        <v>229</v>
      </c>
      <c r="O230">
        <v>359044.95736121933</v>
      </c>
    </row>
    <row r="231" spans="14:15" x14ac:dyDescent="0.45">
      <c r="N231">
        <v>230</v>
      </c>
      <c r="O231">
        <v>364744.84933215537</v>
      </c>
    </row>
    <row r="232" spans="14:15" x14ac:dyDescent="0.45">
      <c r="N232">
        <v>231</v>
      </c>
      <c r="O232">
        <v>358946.45776136138</v>
      </c>
    </row>
    <row r="233" spans="14:15" x14ac:dyDescent="0.45">
      <c r="N233">
        <v>232</v>
      </c>
      <c r="O233">
        <v>360881.53407399112</v>
      </c>
    </row>
    <row r="234" spans="14:15" x14ac:dyDescent="0.45">
      <c r="N234">
        <v>233</v>
      </c>
      <c r="O234">
        <v>351579.84216414299</v>
      </c>
    </row>
    <row r="235" spans="14:15" x14ac:dyDescent="0.45">
      <c r="N235">
        <v>234</v>
      </c>
      <c r="O235">
        <v>363636.28681821859</v>
      </c>
    </row>
    <row r="236" spans="14:15" x14ac:dyDescent="0.45">
      <c r="N236">
        <v>235</v>
      </c>
      <c r="O236">
        <v>360956.48285179853</v>
      </c>
    </row>
    <row r="237" spans="14:15" x14ac:dyDescent="0.45">
      <c r="N237">
        <v>236</v>
      </c>
      <c r="O237">
        <v>359755.38512848807</v>
      </c>
    </row>
    <row r="238" spans="14:15" x14ac:dyDescent="0.45">
      <c r="N238">
        <v>237</v>
      </c>
      <c r="O238">
        <v>361335.95735420391</v>
      </c>
    </row>
    <row r="239" spans="14:15" x14ac:dyDescent="0.45">
      <c r="N239">
        <v>238</v>
      </c>
      <c r="O239">
        <v>364741.64788436622</v>
      </c>
    </row>
    <row r="240" spans="14:15" x14ac:dyDescent="0.45">
      <c r="N240">
        <v>239</v>
      </c>
      <c r="O240">
        <v>365047.45105256326</v>
      </c>
    </row>
    <row r="241" spans="14:15" x14ac:dyDescent="0.45">
      <c r="N241">
        <v>240</v>
      </c>
      <c r="O241">
        <v>363429.86466031487</v>
      </c>
    </row>
    <row r="242" spans="14:15" x14ac:dyDescent="0.45">
      <c r="N242">
        <v>241</v>
      </c>
      <c r="O242">
        <v>362304.49130171328</v>
      </c>
    </row>
    <row r="243" spans="14:15" x14ac:dyDescent="0.45">
      <c r="N243">
        <v>242</v>
      </c>
      <c r="O243">
        <v>356493.6618782194</v>
      </c>
    </row>
    <row r="244" spans="14:15" x14ac:dyDescent="0.45">
      <c r="N244">
        <v>243</v>
      </c>
      <c r="O244">
        <v>351124.58228097705</v>
      </c>
    </row>
    <row r="245" spans="14:15" x14ac:dyDescent="0.45">
      <c r="N245">
        <v>244</v>
      </c>
      <c r="O245">
        <v>363042.70465197344</v>
      </c>
    </row>
    <row r="246" spans="14:15" x14ac:dyDescent="0.45">
      <c r="N246">
        <v>245</v>
      </c>
      <c r="O246">
        <v>351977.94780520635</v>
      </c>
    </row>
    <row r="247" spans="14:15" x14ac:dyDescent="0.45">
      <c r="N247">
        <v>246</v>
      </c>
      <c r="O247">
        <v>360222.11801122886</v>
      </c>
    </row>
    <row r="248" spans="14:15" x14ac:dyDescent="0.45">
      <c r="N248">
        <v>247</v>
      </c>
      <c r="O248">
        <v>355584.26105735754</v>
      </c>
    </row>
    <row r="249" spans="14:15" x14ac:dyDescent="0.45">
      <c r="N249">
        <v>248</v>
      </c>
      <c r="O249">
        <v>366409.13184611179</v>
      </c>
    </row>
    <row r="250" spans="14:15" x14ac:dyDescent="0.45">
      <c r="N250">
        <v>249</v>
      </c>
      <c r="O250">
        <v>371222.45815328119</v>
      </c>
    </row>
    <row r="251" spans="14:15" x14ac:dyDescent="0.45">
      <c r="N251">
        <v>250</v>
      </c>
      <c r="O251">
        <v>350192.91903751128</v>
      </c>
    </row>
    <row r="252" spans="14:15" x14ac:dyDescent="0.45">
      <c r="N252">
        <v>251</v>
      </c>
      <c r="O252">
        <v>359510.81060728309</v>
      </c>
    </row>
    <row r="253" spans="14:15" x14ac:dyDescent="0.45">
      <c r="N253">
        <v>252</v>
      </c>
      <c r="O253">
        <v>347955.14408045885</v>
      </c>
    </row>
    <row r="254" spans="14:15" x14ac:dyDescent="0.45">
      <c r="N254">
        <v>253</v>
      </c>
      <c r="O254">
        <v>364732.46330321522</v>
      </c>
    </row>
    <row r="255" spans="14:15" x14ac:dyDescent="0.45">
      <c r="N255">
        <v>254</v>
      </c>
      <c r="O255">
        <v>351515.38883153861</v>
      </c>
    </row>
    <row r="256" spans="14:15" x14ac:dyDescent="0.45">
      <c r="N256">
        <v>255</v>
      </c>
      <c r="O256">
        <v>362785.99154841539</v>
      </c>
    </row>
    <row r="257" spans="14:15" x14ac:dyDescent="0.45">
      <c r="N257">
        <v>256</v>
      </c>
      <c r="O257">
        <v>357759.88195630664</v>
      </c>
    </row>
    <row r="258" spans="14:15" x14ac:dyDescent="0.45">
      <c r="N258">
        <v>257</v>
      </c>
      <c r="O258">
        <v>355205.97814450739</v>
      </c>
    </row>
    <row r="259" spans="14:15" x14ac:dyDescent="0.45">
      <c r="N259">
        <v>258</v>
      </c>
      <c r="O259">
        <v>365566.74646070175</v>
      </c>
    </row>
    <row r="260" spans="14:15" x14ac:dyDescent="0.45">
      <c r="N260">
        <v>259</v>
      </c>
      <c r="O260">
        <v>359477.25507163326</v>
      </c>
    </row>
    <row r="261" spans="14:15" x14ac:dyDescent="0.45">
      <c r="N261">
        <v>260</v>
      </c>
      <c r="O261">
        <v>354929.93987580831</v>
      </c>
    </row>
    <row r="262" spans="14:15" x14ac:dyDescent="0.45">
      <c r="N262">
        <v>261</v>
      </c>
      <c r="O262">
        <v>366823.22181635926</v>
      </c>
    </row>
    <row r="263" spans="14:15" x14ac:dyDescent="0.45">
      <c r="N263">
        <v>262</v>
      </c>
      <c r="O263">
        <v>361539.12230941909</v>
      </c>
    </row>
    <row r="264" spans="14:15" x14ac:dyDescent="0.45">
      <c r="N264">
        <v>263</v>
      </c>
      <c r="O264">
        <v>348878.10253835551</v>
      </c>
    </row>
    <row r="265" spans="14:15" x14ac:dyDescent="0.45">
      <c r="N265">
        <v>264</v>
      </c>
      <c r="O265">
        <v>357847.59233377868</v>
      </c>
    </row>
    <row r="266" spans="14:15" x14ac:dyDescent="0.45">
      <c r="N266">
        <v>265</v>
      </c>
      <c r="O266">
        <v>361523.08053747419</v>
      </c>
    </row>
    <row r="267" spans="14:15" x14ac:dyDescent="0.45">
      <c r="N267">
        <v>266</v>
      </c>
      <c r="O267">
        <v>361901.1854094275</v>
      </c>
    </row>
    <row r="268" spans="14:15" x14ac:dyDescent="0.45">
      <c r="N268">
        <v>267</v>
      </c>
      <c r="O268">
        <v>348141.99506097933</v>
      </c>
    </row>
    <row r="269" spans="14:15" x14ac:dyDescent="0.45">
      <c r="N269">
        <v>268</v>
      </c>
      <c r="O269">
        <v>372843.10294654808</v>
      </c>
    </row>
    <row r="270" spans="14:15" x14ac:dyDescent="0.45">
      <c r="N270">
        <v>269</v>
      </c>
      <c r="O270">
        <v>365080.61584934994</v>
      </c>
    </row>
    <row r="271" spans="14:15" x14ac:dyDescent="0.45">
      <c r="N271">
        <v>270</v>
      </c>
      <c r="O271">
        <v>348845.8440091653</v>
      </c>
    </row>
    <row r="272" spans="14:15" x14ac:dyDescent="0.45">
      <c r="N272">
        <v>271</v>
      </c>
      <c r="O272">
        <v>350810.28563998803</v>
      </c>
    </row>
    <row r="273" spans="14:15" x14ac:dyDescent="0.45">
      <c r="N273">
        <v>272</v>
      </c>
      <c r="O273">
        <v>358921.01923450618</v>
      </c>
    </row>
    <row r="274" spans="14:15" x14ac:dyDescent="0.45">
      <c r="N274">
        <v>273</v>
      </c>
      <c r="O274">
        <v>357377.50211302238</v>
      </c>
    </row>
    <row r="275" spans="14:15" x14ac:dyDescent="0.45">
      <c r="N275">
        <v>274</v>
      </c>
      <c r="O275">
        <v>354465.54738624155</v>
      </c>
    </row>
    <row r="276" spans="14:15" x14ac:dyDescent="0.45">
      <c r="N276">
        <v>275</v>
      </c>
      <c r="O276">
        <v>353836.39743751008</v>
      </c>
    </row>
    <row r="277" spans="14:15" x14ac:dyDescent="0.45">
      <c r="N277">
        <v>276</v>
      </c>
      <c r="O277">
        <v>343904.15349437122</v>
      </c>
    </row>
    <row r="278" spans="14:15" x14ac:dyDescent="0.45">
      <c r="N278">
        <v>277</v>
      </c>
      <c r="O278">
        <v>357429.46504387446</v>
      </c>
    </row>
    <row r="279" spans="14:15" x14ac:dyDescent="0.45">
      <c r="N279">
        <v>278</v>
      </c>
      <c r="O279">
        <v>370224.14571897004</v>
      </c>
    </row>
    <row r="280" spans="14:15" x14ac:dyDescent="0.45">
      <c r="N280">
        <v>279</v>
      </c>
      <c r="O280">
        <v>361945.54943625361</v>
      </c>
    </row>
    <row r="281" spans="14:15" x14ac:dyDescent="0.45">
      <c r="N281">
        <v>280</v>
      </c>
      <c r="O281">
        <v>361932.37031471386</v>
      </c>
    </row>
    <row r="282" spans="14:15" x14ac:dyDescent="0.45">
      <c r="N282">
        <v>281</v>
      </c>
      <c r="O282">
        <v>363297.98344467924</v>
      </c>
    </row>
    <row r="283" spans="14:15" x14ac:dyDescent="0.45">
      <c r="N283">
        <v>282</v>
      </c>
      <c r="O283">
        <v>370175.09114593326</v>
      </c>
    </row>
    <row r="284" spans="14:15" x14ac:dyDescent="0.45">
      <c r="N284">
        <v>283</v>
      </c>
      <c r="O284">
        <v>363499.67988251278</v>
      </c>
    </row>
    <row r="285" spans="14:15" x14ac:dyDescent="0.45">
      <c r="N285">
        <v>284</v>
      </c>
      <c r="O285">
        <v>363844.21493897727</v>
      </c>
    </row>
    <row r="286" spans="14:15" x14ac:dyDescent="0.45">
      <c r="N286">
        <v>285</v>
      </c>
      <c r="O286">
        <v>366195.3393502112</v>
      </c>
    </row>
    <row r="287" spans="14:15" x14ac:dyDescent="0.45">
      <c r="N287">
        <v>286</v>
      </c>
      <c r="O287">
        <v>346725.47206714953</v>
      </c>
    </row>
    <row r="288" spans="14:15" x14ac:dyDescent="0.45">
      <c r="N288">
        <v>287</v>
      </c>
      <c r="O288">
        <v>357616.37585942238</v>
      </c>
    </row>
    <row r="289" spans="14:15" x14ac:dyDescent="0.45">
      <c r="N289">
        <v>288</v>
      </c>
      <c r="O289">
        <v>350914.44955457794</v>
      </c>
    </row>
    <row r="290" spans="14:15" x14ac:dyDescent="0.45">
      <c r="N290">
        <v>289</v>
      </c>
      <c r="O290">
        <v>358604.08489134692</v>
      </c>
    </row>
    <row r="291" spans="14:15" x14ac:dyDescent="0.45">
      <c r="N291">
        <v>290</v>
      </c>
      <c r="O291">
        <v>352942.1131730153</v>
      </c>
    </row>
    <row r="292" spans="14:15" x14ac:dyDescent="0.45">
      <c r="N292">
        <v>291</v>
      </c>
      <c r="O292">
        <v>360866.54782253259</v>
      </c>
    </row>
    <row r="293" spans="14:15" x14ac:dyDescent="0.45">
      <c r="N293">
        <v>292</v>
      </c>
      <c r="O293">
        <v>364869.90991073352</v>
      </c>
    </row>
    <row r="294" spans="14:15" x14ac:dyDescent="0.45">
      <c r="N294">
        <v>293</v>
      </c>
      <c r="O294">
        <v>356663.70118463866</v>
      </c>
    </row>
    <row r="295" spans="14:15" x14ac:dyDescent="0.45">
      <c r="N295">
        <v>294</v>
      </c>
      <c r="O295">
        <v>361662.43004735769</v>
      </c>
    </row>
    <row r="296" spans="14:15" x14ac:dyDescent="0.45">
      <c r="N296">
        <v>295</v>
      </c>
      <c r="O296">
        <v>352283.9045362199</v>
      </c>
    </row>
    <row r="297" spans="14:15" x14ac:dyDescent="0.45">
      <c r="N297">
        <v>296</v>
      </c>
      <c r="O297">
        <v>365222.31813507795</v>
      </c>
    </row>
    <row r="298" spans="14:15" x14ac:dyDescent="0.45">
      <c r="N298">
        <v>297</v>
      </c>
      <c r="O298">
        <v>373069.32745913212</v>
      </c>
    </row>
    <row r="299" spans="14:15" x14ac:dyDescent="0.45">
      <c r="N299">
        <v>298</v>
      </c>
      <c r="O299">
        <v>354687.54725190572</v>
      </c>
    </row>
    <row r="300" spans="14:15" x14ac:dyDescent="0.45">
      <c r="N300">
        <v>299</v>
      </c>
      <c r="O300">
        <v>356902.30260819127</v>
      </c>
    </row>
    <row r="301" spans="14:15" x14ac:dyDescent="0.45">
      <c r="N301">
        <v>300</v>
      </c>
      <c r="O301">
        <v>366198.03152375162</v>
      </c>
    </row>
    <row r="302" spans="14:15" x14ac:dyDescent="0.45">
      <c r="N302">
        <v>301</v>
      </c>
      <c r="O302">
        <v>352833.3207733446</v>
      </c>
    </row>
    <row r="303" spans="14:15" x14ac:dyDescent="0.45">
      <c r="N303">
        <v>302</v>
      </c>
      <c r="O303">
        <v>360867.38048543083</v>
      </c>
    </row>
    <row r="304" spans="14:15" x14ac:dyDescent="0.45">
      <c r="N304">
        <v>303</v>
      </c>
      <c r="O304">
        <v>368809.66104962281</v>
      </c>
    </row>
    <row r="305" spans="14:15" x14ac:dyDescent="0.45">
      <c r="N305">
        <v>304</v>
      </c>
      <c r="O305">
        <v>364504.36937299557</v>
      </c>
    </row>
    <row r="306" spans="14:15" x14ac:dyDescent="0.45">
      <c r="N306">
        <v>305</v>
      </c>
      <c r="O306">
        <v>361695.64910920081</v>
      </c>
    </row>
    <row r="307" spans="14:15" x14ac:dyDescent="0.45">
      <c r="N307">
        <v>306</v>
      </c>
      <c r="O307">
        <v>361555.18012074812</v>
      </c>
    </row>
    <row r="308" spans="14:15" x14ac:dyDescent="0.45">
      <c r="N308">
        <v>307</v>
      </c>
      <c r="O308">
        <v>348402.15668108524</v>
      </c>
    </row>
    <row r="309" spans="14:15" x14ac:dyDescent="0.45">
      <c r="N309">
        <v>308</v>
      </c>
      <c r="O309">
        <v>360824.11634692398</v>
      </c>
    </row>
    <row r="310" spans="14:15" x14ac:dyDescent="0.45">
      <c r="N310">
        <v>309</v>
      </c>
      <c r="O310">
        <v>362923.41696316079</v>
      </c>
    </row>
    <row r="311" spans="14:15" x14ac:dyDescent="0.45">
      <c r="N311">
        <v>310</v>
      </c>
      <c r="O311">
        <v>355071.99965070433</v>
      </c>
    </row>
    <row r="312" spans="14:15" x14ac:dyDescent="0.45">
      <c r="N312">
        <v>311</v>
      </c>
      <c r="O312">
        <v>360889.31327022763</v>
      </c>
    </row>
    <row r="313" spans="14:15" x14ac:dyDescent="0.45">
      <c r="N313">
        <v>312</v>
      </c>
      <c r="O313">
        <v>364245.52601135324</v>
      </c>
    </row>
    <row r="314" spans="14:15" x14ac:dyDescent="0.45">
      <c r="N314">
        <v>313</v>
      </c>
      <c r="O314">
        <v>377068.42908449646</v>
      </c>
    </row>
    <row r="315" spans="14:15" x14ac:dyDescent="0.45">
      <c r="N315">
        <v>314</v>
      </c>
      <c r="O315">
        <v>359674.35308651649</v>
      </c>
    </row>
    <row r="316" spans="14:15" x14ac:dyDescent="0.45">
      <c r="N316">
        <v>315</v>
      </c>
      <c r="O316">
        <v>354737.29919807723</v>
      </c>
    </row>
    <row r="317" spans="14:15" x14ac:dyDescent="0.45">
      <c r="N317">
        <v>316</v>
      </c>
      <c r="O317">
        <v>368441.84427473205</v>
      </c>
    </row>
    <row r="318" spans="14:15" x14ac:dyDescent="0.45">
      <c r="N318">
        <v>317</v>
      </c>
      <c r="O318">
        <v>354393.29278016492</v>
      </c>
    </row>
    <row r="319" spans="14:15" x14ac:dyDescent="0.45">
      <c r="N319">
        <v>318</v>
      </c>
      <c r="O319">
        <v>367119.02452029282</v>
      </c>
    </row>
    <row r="320" spans="14:15" x14ac:dyDescent="0.45">
      <c r="N320">
        <v>319</v>
      </c>
      <c r="O320">
        <v>364121.62225727784</v>
      </c>
    </row>
    <row r="321" spans="14:15" x14ac:dyDescent="0.45">
      <c r="N321">
        <v>320</v>
      </c>
      <c r="O321">
        <v>354076.62861725094</v>
      </c>
    </row>
    <row r="322" spans="14:15" x14ac:dyDescent="0.45">
      <c r="N322">
        <v>321</v>
      </c>
      <c r="O322">
        <v>368466.76417346677</v>
      </c>
    </row>
    <row r="323" spans="14:15" x14ac:dyDescent="0.45">
      <c r="N323">
        <v>322</v>
      </c>
      <c r="O323">
        <v>370976.20225813659</v>
      </c>
    </row>
    <row r="324" spans="14:15" x14ac:dyDescent="0.45">
      <c r="N324">
        <v>323</v>
      </c>
      <c r="O324">
        <v>357127.24076413969</v>
      </c>
    </row>
    <row r="325" spans="14:15" x14ac:dyDescent="0.45">
      <c r="N325">
        <v>324</v>
      </c>
      <c r="O325">
        <v>364606.93354463577</v>
      </c>
    </row>
    <row r="326" spans="14:15" x14ac:dyDescent="0.45">
      <c r="N326">
        <v>325</v>
      </c>
      <c r="O326">
        <v>345877.9630397436</v>
      </c>
    </row>
    <row r="327" spans="14:15" x14ac:dyDescent="0.45">
      <c r="N327">
        <v>326</v>
      </c>
      <c r="O327">
        <v>364135.32111404749</v>
      </c>
    </row>
    <row r="328" spans="14:15" x14ac:dyDescent="0.45">
      <c r="N328">
        <v>327</v>
      </c>
      <c r="O328">
        <v>361307.21906521276</v>
      </c>
    </row>
    <row r="329" spans="14:15" x14ac:dyDescent="0.45">
      <c r="N329">
        <v>328</v>
      </c>
      <c r="O329">
        <v>362652.59984272462</v>
      </c>
    </row>
    <row r="330" spans="14:15" x14ac:dyDescent="0.45">
      <c r="N330">
        <v>329</v>
      </c>
      <c r="O330">
        <v>358749.03346701892</v>
      </c>
    </row>
    <row r="331" spans="14:15" x14ac:dyDescent="0.45">
      <c r="N331">
        <v>330</v>
      </c>
      <c r="O331">
        <v>355867.2899625866</v>
      </c>
    </row>
    <row r="332" spans="14:15" x14ac:dyDescent="0.45">
      <c r="N332">
        <v>331</v>
      </c>
      <c r="O332">
        <v>362604.98961614392</v>
      </c>
    </row>
    <row r="333" spans="14:15" x14ac:dyDescent="0.45">
      <c r="N333">
        <v>332</v>
      </c>
      <c r="O333">
        <v>368234.82492430654</v>
      </c>
    </row>
    <row r="334" spans="14:15" x14ac:dyDescent="0.45">
      <c r="N334">
        <v>333</v>
      </c>
      <c r="O334">
        <v>363401.91465587681</v>
      </c>
    </row>
    <row r="335" spans="14:15" x14ac:dyDescent="0.45">
      <c r="N335">
        <v>334</v>
      </c>
      <c r="O335">
        <v>354099.39510857116</v>
      </c>
    </row>
    <row r="336" spans="14:15" x14ac:dyDescent="0.45">
      <c r="N336">
        <v>335</v>
      </c>
      <c r="O336">
        <v>367538.79729405086</v>
      </c>
    </row>
    <row r="337" spans="14:15" x14ac:dyDescent="0.45">
      <c r="N337">
        <v>336</v>
      </c>
      <c r="O337">
        <v>361884.28187402902</v>
      </c>
    </row>
    <row r="338" spans="14:15" x14ac:dyDescent="0.45">
      <c r="N338">
        <v>337</v>
      </c>
      <c r="O338">
        <v>372330.91606768453</v>
      </c>
    </row>
    <row r="339" spans="14:15" x14ac:dyDescent="0.45">
      <c r="N339">
        <v>338</v>
      </c>
      <c r="O339">
        <v>375563.57167593157</v>
      </c>
    </row>
    <row r="340" spans="14:15" x14ac:dyDescent="0.45">
      <c r="N340">
        <v>339</v>
      </c>
      <c r="O340">
        <v>369193.50902024866</v>
      </c>
    </row>
    <row r="341" spans="14:15" x14ac:dyDescent="0.45">
      <c r="N341">
        <v>340</v>
      </c>
      <c r="O341">
        <v>366312.3960657015</v>
      </c>
    </row>
    <row r="342" spans="14:15" x14ac:dyDescent="0.45">
      <c r="N342">
        <v>341</v>
      </c>
      <c r="O342">
        <v>357966.98414045293</v>
      </c>
    </row>
    <row r="343" spans="14:15" x14ac:dyDescent="0.45">
      <c r="N343">
        <v>342</v>
      </c>
      <c r="O343">
        <v>347900.88199027919</v>
      </c>
    </row>
    <row r="344" spans="14:15" x14ac:dyDescent="0.45">
      <c r="N344">
        <v>343</v>
      </c>
      <c r="O344">
        <v>359587.8762924216</v>
      </c>
    </row>
    <row r="345" spans="14:15" x14ac:dyDescent="0.45">
      <c r="N345">
        <v>344</v>
      </c>
      <c r="O345">
        <v>373204.93694825319</v>
      </c>
    </row>
    <row r="346" spans="14:15" x14ac:dyDescent="0.45">
      <c r="N346">
        <v>345</v>
      </c>
      <c r="O346">
        <v>382275.20395596902</v>
      </c>
    </row>
    <row r="347" spans="14:15" x14ac:dyDescent="0.45">
      <c r="N347">
        <v>346</v>
      </c>
      <c r="O347">
        <v>350101.69587436016</v>
      </c>
    </row>
    <row r="348" spans="14:15" x14ac:dyDescent="0.45">
      <c r="N348">
        <v>347</v>
      </c>
      <c r="O348">
        <v>370022.90646005247</v>
      </c>
    </row>
    <row r="349" spans="14:15" x14ac:dyDescent="0.45">
      <c r="N349">
        <v>348</v>
      </c>
      <c r="O349">
        <v>377835.84709575173</v>
      </c>
    </row>
    <row r="350" spans="14:15" x14ac:dyDescent="0.45">
      <c r="N350">
        <v>349</v>
      </c>
      <c r="O350">
        <v>350849.85462370579</v>
      </c>
    </row>
    <row r="351" spans="14:15" x14ac:dyDescent="0.45">
      <c r="N351">
        <v>350</v>
      </c>
      <c r="O351">
        <v>348103.6103557357</v>
      </c>
    </row>
    <row r="352" spans="14:15" x14ac:dyDescent="0.45">
      <c r="N352">
        <v>351</v>
      </c>
      <c r="O352">
        <v>357917.88564659533</v>
      </c>
    </row>
    <row r="353" spans="14:15" x14ac:dyDescent="0.45">
      <c r="N353">
        <v>352</v>
      </c>
      <c r="O353">
        <v>372229.75434490683</v>
      </c>
    </row>
    <row r="354" spans="14:15" x14ac:dyDescent="0.45">
      <c r="N354">
        <v>353</v>
      </c>
      <c r="O354">
        <v>365271.42278110591</v>
      </c>
    </row>
    <row r="355" spans="14:15" x14ac:dyDescent="0.45">
      <c r="N355">
        <v>354</v>
      </c>
      <c r="O355">
        <v>372024.93084357062</v>
      </c>
    </row>
    <row r="356" spans="14:15" x14ac:dyDescent="0.45">
      <c r="N356">
        <v>355</v>
      </c>
      <c r="O356">
        <v>355985.05349914019</v>
      </c>
    </row>
    <row r="357" spans="14:15" x14ac:dyDescent="0.45">
      <c r="N357">
        <v>356</v>
      </c>
      <c r="O357">
        <v>371096.60439851205</v>
      </c>
    </row>
    <row r="358" spans="14:15" x14ac:dyDescent="0.45">
      <c r="N358">
        <v>357</v>
      </c>
      <c r="O358">
        <v>368958.08187477302</v>
      </c>
    </row>
    <row r="359" spans="14:15" x14ac:dyDescent="0.45">
      <c r="N359">
        <v>358</v>
      </c>
      <c r="O359">
        <v>347580.07159325288</v>
      </c>
    </row>
    <row r="360" spans="14:15" x14ac:dyDescent="0.45">
      <c r="N360">
        <v>359</v>
      </c>
      <c r="O360">
        <v>366219.09028842812</v>
      </c>
    </row>
    <row r="361" spans="14:15" x14ac:dyDescent="0.45">
      <c r="N361">
        <v>360</v>
      </c>
      <c r="O361">
        <v>364498.93842037558</v>
      </c>
    </row>
    <row r="362" spans="14:15" x14ac:dyDescent="0.45">
      <c r="N362">
        <v>361</v>
      </c>
      <c r="O362">
        <v>363328.95369436761</v>
      </c>
    </row>
    <row r="363" spans="14:15" x14ac:dyDescent="0.45">
      <c r="N363">
        <v>362</v>
      </c>
      <c r="O363">
        <v>367496.45950538496</v>
      </c>
    </row>
    <row r="364" spans="14:15" x14ac:dyDescent="0.45">
      <c r="N364">
        <v>363</v>
      </c>
      <c r="O364">
        <v>363405.65865492483</v>
      </c>
    </row>
    <row r="365" spans="14:15" x14ac:dyDescent="0.45">
      <c r="N365">
        <v>364</v>
      </c>
      <c r="O365">
        <v>366620.62490829179</v>
      </c>
    </row>
    <row r="366" spans="14:15" x14ac:dyDescent="0.45">
      <c r="N366">
        <v>365</v>
      </c>
      <c r="O366">
        <v>338943.56091830245</v>
      </c>
    </row>
    <row r="367" spans="14:15" x14ac:dyDescent="0.45">
      <c r="N367">
        <v>366</v>
      </c>
      <c r="O367">
        <v>357274.12798702269</v>
      </c>
    </row>
    <row r="368" spans="14:15" x14ac:dyDescent="0.45">
      <c r="N368">
        <v>367</v>
      </c>
      <c r="O368">
        <v>364941.82641839009</v>
      </c>
    </row>
    <row r="369" spans="14:15" x14ac:dyDescent="0.45">
      <c r="N369">
        <v>368</v>
      </c>
      <c r="O369">
        <v>361440.46664136555</v>
      </c>
    </row>
    <row r="370" spans="14:15" x14ac:dyDescent="0.45">
      <c r="N370">
        <v>369</v>
      </c>
      <c r="O370">
        <v>359580.48656570911</v>
      </c>
    </row>
    <row r="371" spans="14:15" x14ac:dyDescent="0.45">
      <c r="N371">
        <v>370</v>
      </c>
      <c r="O371">
        <v>357386.13910957496</v>
      </c>
    </row>
    <row r="372" spans="14:15" x14ac:dyDescent="0.45">
      <c r="N372">
        <v>371</v>
      </c>
      <c r="O372">
        <v>353486.71786112164</v>
      </c>
    </row>
    <row r="373" spans="14:15" x14ac:dyDescent="0.45">
      <c r="N373">
        <v>372</v>
      </c>
      <c r="O373">
        <v>367864.49763766851</v>
      </c>
    </row>
    <row r="374" spans="14:15" x14ac:dyDescent="0.45">
      <c r="N374">
        <v>373</v>
      </c>
      <c r="O374">
        <v>356252.56039647106</v>
      </c>
    </row>
    <row r="375" spans="14:15" x14ac:dyDescent="0.45">
      <c r="N375">
        <v>374</v>
      </c>
      <c r="O375">
        <v>359000.52366119408</v>
      </c>
    </row>
    <row r="376" spans="14:15" x14ac:dyDescent="0.45">
      <c r="N376">
        <v>375</v>
      </c>
      <c r="O376">
        <v>361859.33374161326</v>
      </c>
    </row>
    <row r="377" spans="14:15" x14ac:dyDescent="0.45">
      <c r="N377">
        <v>376</v>
      </c>
      <c r="O377">
        <v>360560.49421686638</v>
      </c>
    </row>
    <row r="378" spans="14:15" x14ac:dyDescent="0.45">
      <c r="N378">
        <v>377</v>
      </c>
      <c r="O378">
        <v>365549.1908427896</v>
      </c>
    </row>
    <row r="379" spans="14:15" x14ac:dyDescent="0.45">
      <c r="N379">
        <v>378</v>
      </c>
      <c r="O379">
        <v>356054.09526571922</v>
      </c>
    </row>
    <row r="380" spans="14:15" x14ac:dyDescent="0.45">
      <c r="N380">
        <v>379</v>
      </c>
      <c r="O380">
        <v>367119.88696633169</v>
      </c>
    </row>
    <row r="381" spans="14:15" x14ac:dyDescent="0.45">
      <c r="N381">
        <v>380</v>
      </c>
      <c r="O381">
        <v>351153.21576295269</v>
      </c>
    </row>
    <row r="382" spans="14:15" x14ac:dyDescent="0.45">
      <c r="N382">
        <v>381</v>
      </c>
      <c r="O382">
        <v>363444.9690117155</v>
      </c>
    </row>
    <row r="383" spans="14:15" x14ac:dyDescent="0.45">
      <c r="N383">
        <v>382</v>
      </c>
      <c r="O383">
        <v>353137.14119529561</v>
      </c>
    </row>
    <row r="384" spans="14:15" x14ac:dyDescent="0.45">
      <c r="N384">
        <v>383</v>
      </c>
      <c r="O384">
        <v>350041.35356381617</v>
      </c>
    </row>
    <row r="385" spans="14:15" x14ac:dyDescent="0.45">
      <c r="N385">
        <v>384</v>
      </c>
      <c r="O385">
        <v>371625.42747601063</v>
      </c>
    </row>
    <row r="386" spans="14:15" x14ac:dyDescent="0.45">
      <c r="N386">
        <v>385</v>
      </c>
      <c r="O386">
        <v>362519.71964862198</v>
      </c>
    </row>
    <row r="387" spans="14:15" x14ac:dyDescent="0.45">
      <c r="N387">
        <v>386</v>
      </c>
      <c r="O387">
        <v>365759.49520504277</v>
      </c>
    </row>
    <row r="388" spans="14:15" x14ac:dyDescent="0.45">
      <c r="N388">
        <v>387</v>
      </c>
      <c r="O388">
        <v>363821.79336804815</v>
      </c>
    </row>
    <row r="389" spans="14:15" x14ac:dyDescent="0.45">
      <c r="N389">
        <v>388</v>
      </c>
      <c r="O389">
        <v>366820.80441177217</v>
      </c>
    </row>
    <row r="390" spans="14:15" x14ac:dyDescent="0.45">
      <c r="N390">
        <v>389</v>
      </c>
      <c r="O390">
        <v>357907.55733453989</v>
      </c>
    </row>
    <row r="391" spans="14:15" x14ac:dyDescent="0.45">
      <c r="N391">
        <v>390</v>
      </c>
      <c r="O391">
        <v>363613.88528764667</v>
      </c>
    </row>
    <row r="392" spans="14:15" x14ac:dyDescent="0.45">
      <c r="N392">
        <v>391</v>
      </c>
      <c r="O392">
        <v>360095.1194698629</v>
      </c>
    </row>
    <row r="393" spans="14:15" x14ac:dyDescent="0.45">
      <c r="N393">
        <v>392</v>
      </c>
      <c r="O393">
        <v>352975.36460814014</v>
      </c>
    </row>
    <row r="394" spans="14:15" x14ac:dyDescent="0.45">
      <c r="N394">
        <v>393</v>
      </c>
      <c r="O394">
        <v>366199.31589166302</v>
      </c>
    </row>
    <row r="395" spans="14:15" x14ac:dyDescent="0.45">
      <c r="N395">
        <v>394</v>
      </c>
      <c r="O395">
        <v>354278.84192710218</v>
      </c>
    </row>
    <row r="396" spans="14:15" x14ac:dyDescent="0.45">
      <c r="N396">
        <v>395</v>
      </c>
      <c r="O396">
        <v>367110.11028464133</v>
      </c>
    </row>
    <row r="397" spans="14:15" x14ac:dyDescent="0.45">
      <c r="N397">
        <v>396</v>
      </c>
      <c r="O397">
        <v>344677.25731715991</v>
      </c>
    </row>
    <row r="398" spans="14:15" x14ac:dyDescent="0.45">
      <c r="N398">
        <v>397</v>
      </c>
      <c r="O398">
        <v>374920.23473772983</v>
      </c>
    </row>
    <row r="399" spans="14:15" x14ac:dyDescent="0.45">
      <c r="N399">
        <v>398</v>
      </c>
      <c r="O399">
        <v>358775.43223762774</v>
      </c>
    </row>
    <row r="400" spans="14:15" x14ac:dyDescent="0.45">
      <c r="N400">
        <v>399</v>
      </c>
      <c r="O400">
        <v>344503.92003584036</v>
      </c>
    </row>
    <row r="401" spans="14:15" x14ac:dyDescent="0.45">
      <c r="N401">
        <v>400</v>
      </c>
      <c r="O401">
        <v>352547.53669515555</v>
      </c>
    </row>
    <row r="402" spans="14:15" x14ac:dyDescent="0.45">
      <c r="N402">
        <v>401</v>
      </c>
      <c r="O402">
        <v>353293.84761420387</v>
      </c>
    </row>
    <row r="403" spans="14:15" x14ac:dyDescent="0.45">
      <c r="N403">
        <v>402</v>
      </c>
      <c r="O403">
        <v>371120.77963114943</v>
      </c>
    </row>
    <row r="404" spans="14:15" x14ac:dyDescent="0.45">
      <c r="N404">
        <v>403</v>
      </c>
      <c r="O404">
        <v>368677.68176252727</v>
      </c>
    </row>
    <row r="405" spans="14:15" x14ac:dyDescent="0.45">
      <c r="N405">
        <v>404</v>
      </c>
      <c r="O405">
        <v>357755.11616288539</v>
      </c>
    </row>
    <row r="406" spans="14:15" x14ac:dyDescent="0.45">
      <c r="N406">
        <v>405</v>
      </c>
      <c r="O406">
        <v>355645.23660826415</v>
      </c>
    </row>
    <row r="407" spans="14:15" x14ac:dyDescent="0.45">
      <c r="N407">
        <v>406</v>
      </c>
      <c r="O407">
        <v>372066.25615090574</v>
      </c>
    </row>
    <row r="408" spans="14:15" x14ac:dyDescent="0.45">
      <c r="N408">
        <v>407</v>
      </c>
      <c r="O408">
        <v>360826.0544358301</v>
      </c>
    </row>
    <row r="409" spans="14:15" x14ac:dyDescent="0.45">
      <c r="N409">
        <v>408</v>
      </c>
      <c r="O409">
        <v>360739.60795262805</v>
      </c>
    </row>
    <row r="410" spans="14:15" x14ac:dyDescent="0.45">
      <c r="N410">
        <v>409</v>
      </c>
      <c r="O410">
        <v>364065.6756999474</v>
      </c>
    </row>
    <row r="411" spans="14:15" x14ac:dyDescent="0.45">
      <c r="N411">
        <v>410</v>
      </c>
      <c r="O411">
        <v>360852.88465530385</v>
      </c>
    </row>
    <row r="412" spans="14:15" x14ac:dyDescent="0.45">
      <c r="N412">
        <v>411</v>
      </c>
      <c r="O412">
        <v>356475.20997713518</v>
      </c>
    </row>
    <row r="413" spans="14:15" x14ac:dyDescent="0.45">
      <c r="N413">
        <v>412</v>
      </c>
      <c r="O413">
        <v>374999.8090069936</v>
      </c>
    </row>
    <row r="414" spans="14:15" x14ac:dyDescent="0.45">
      <c r="N414">
        <v>413</v>
      </c>
      <c r="O414">
        <v>349684.68660105485</v>
      </c>
    </row>
    <row r="415" spans="14:15" x14ac:dyDescent="0.45">
      <c r="N415">
        <v>414</v>
      </c>
      <c r="O415">
        <v>370976.82511706173</v>
      </c>
    </row>
    <row r="416" spans="14:15" x14ac:dyDescent="0.45">
      <c r="N416">
        <v>415</v>
      </c>
      <c r="O416">
        <v>365751.62690281111</v>
      </c>
    </row>
    <row r="417" spans="14:15" x14ac:dyDescent="0.45">
      <c r="N417">
        <v>416</v>
      </c>
      <c r="O417">
        <v>360512.35977769829</v>
      </c>
    </row>
    <row r="418" spans="14:15" x14ac:dyDescent="0.45">
      <c r="N418">
        <v>417</v>
      </c>
      <c r="O418">
        <v>372720.47389496863</v>
      </c>
    </row>
    <row r="419" spans="14:15" x14ac:dyDescent="0.45">
      <c r="N419">
        <v>418</v>
      </c>
      <c r="O419">
        <v>357262.69195820985</v>
      </c>
    </row>
    <row r="420" spans="14:15" x14ac:dyDescent="0.45">
      <c r="N420">
        <v>419</v>
      </c>
      <c r="O420">
        <v>354077.18531043164</v>
      </c>
    </row>
    <row r="421" spans="14:15" x14ac:dyDescent="0.45">
      <c r="N421">
        <v>420</v>
      </c>
      <c r="O421">
        <v>366700.54318734194</v>
      </c>
    </row>
    <row r="422" spans="14:15" x14ac:dyDescent="0.45">
      <c r="N422">
        <v>421</v>
      </c>
      <c r="O422">
        <v>357287.18590034131</v>
      </c>
    </row>
    <row r="423" spans="14:15" x14ac:dyDescent="0.45">
      <c r="N423">
        <v>422</v>
      </c>
      <c r="O423">
        <v>366363.4546850496</v>
      </c>
    </row>
    <row r="424" spans="14:15" x14ac:dyDescent="0.45">
      <c r="N424">
        <v>423</v>
      </c>
      <c r="O424">
        <v>373152.94341063045</v>
      </c>
    </row>
    <row r="425" spans="14:15" x14ac:dyDescent="0.45">
      <c r="N425">
        <v>424</v>
      </c>
      <c r="O425">
        <v>363283.57576455642</v>
      </c>
    </row>
    <row r="426" spans="14:15" x14ac:dyDescent="0.45">
      <c r="N426">
        <v>425</v>
      </c>
      <c r="O426">
        <v>372926.82069102576</v>
      </c>
    </row>
    <row r="427" spans="14:15" x14ac:dyDescent="0.45">
      <c r="N427">
        <v>426</v>
      </c>
      <c r="O427">
        <v>366055.40047604806</v>
      </c>
    </row>
    <row r="428" spans="14:15" x14ac:dyDescent="0.45">
      <c r="N428">
        <v>427</v>
      </c>
      <c r="O428">
        <v>360008.07453027589</v>
      </c>
    </row>
    <row r="429" spans="14:15" x14ac:dyDescent="0.45">
      <c r="N429">
        <v>428</v>
      </c>
      <c r="O429">
        <v>367262.27374494215</v>
      </c>
    </row>
    <row r="430" spans="14:15" x14ac:dyDescent="0.45">
      <c r="N430">
        <v>429</v>
      </c>
      <c r="O430">
        <v>365966.21232073108</v>
      </c>
    </row>
    <row r="431" spans="14:15" x14ac:dyDescent="0.45">
      <c r="N431">
        <v>430</v>
      </c>
      <c r="O431">
        <v>362257.6131563161</v>
      </c>
    </row>
    <row r="432" spans="14:15" x14ac:dyDescent="0.45">
      <c r="N432">
        <v>431</v>
      </c>
      <c r="O432">
        <v>366490.95148993615</v>
      </c>
    </row>
    <row r="433" spans="14:15" x14ac:dyDescent="0.45">
      <c r="N433">
        <v>432</v>
      </c>
      <c r="O433">
        <v>361782.82583782636</v>
      </c>
    </row>
    <row r="434" spans="14:15" x14ac:dyDescent="0.45">
      <c r="N434">
        <v>433</v>
      </c>
      <c r="O434">
        <v>357982.83325113467</v>
      </c>
    </row>
    <row r="435" spans="14:15" x14ac:dyDescent="0.45">
      <c r="N435">
        <v>434</v>
      </c>
      <c r="O435">
        <v>348766.06657477759</v>
      </c>
    </row>
    <row r="436" spans="14:15" x14ac:dyDescent="0.45">
      <c r="N436">
        <v>435</v>
      </c>
      <c r="O436">
        <v>346759.24200950301</v>
      </c>
    </row>
    <row r="437" spans="14:15" x14ac:dyDescent="0.45">
      <c r="N437">
        <v>436</v>
      </c>
      <c r="O437">
        <v>362987.83272782038</v>
      </c>
    </row>
    <row r="438" spans="14:15" x14ac:dyDescent="0.45">
      <c r="N438">
        <v>437</v>
      </c>
      <c r="O438">
        <v>357406.98499092506</v>
      </c>
    </row>
    <row r="439" spans="14:15" x14ac:dyDescent="0.45">
      <c r="N439">
        <v>438</v>
      </c>
      <c r="O439">
        <v>359214.23580027185</v>
      </c>
    </row>
    <row r="440" spans="14:15" x14ac:dyDescent="0.45">
      <c r="N440">
        <v>439</v>
      </c>
      <c r="O440">
        <v>370190.81787737826</v>
      </c>
    </row>
    <row r="441" spans="14:15" x14ac:dyDescent="0.45">
      <c r="N441">
        <v>440</v>
      </c>
      <c r="O441">
        <v>361496.52794397064</v>
      </c>
    </row>
    <row r="442" spans="14:15" x14ac:dyDescent="0.45">
      <c r="N442">
        <v>441</v>
      </c>
      <c r="O442">
        <v>370834.46206353133</v>
      </c>
    </row>
    <row r="443" spans="14:15" x14ac:dyDescent="0.45">
      <c r="N443">
        <v>442</v>
      </c>
      <c r="O443">
        <v>372459.85173993639</v>
      </c>
    </row>
    <row r="444" spans="14:15" x14ac:dyDescent="0.45">
      <c r="N444">
        <v>443</v>
      </c>
      <c r="O444">
        <v>367456.55957040342</v>
      </c>
    </row>
    <row r="445" spans="14:15" x14ac:dyDescent="0.45">
      <c r="N445">
        <v>444</v>
      </c>
      <c r="O445">
        <v>365369.30325916474</v>
      </c>
    </row>
    <row r="446" spans="14:15" x14ac:dyDescent="0.45">
      <c r="N446">
        <v>445</v>
      </c>
      <c r="O446">
        <v>342315.14436781441</v>
      </c>
    </row>
    <row r="447" spans="14:15" x14ac:dyDescent="0.45">
      <c r="N447">
        <v>446</v>
      </c>
      <c r="O447">
        <v>351050.19183244958</v>
      </c>
    </row>
    <row r="448" spans="14:15" x14ac:dyDescent="0.45">
      <c r="N448">
        <v>447</v>
      </c>
      <c r="O448">
        <v>365515.84181142051</v>
      </c>
    </row>
    <row r="449" spans="14:15" x14ac:dyDescent="0.45">
      <c r="N449">
        <v>448</v>
      </c>
      <c r="O449">
        <v>349970.98934040632</v>
      </c>
    </row>
    <row r="450" spans="14:15" x14ac:dyDescent="0.45">
      <c r="N450">
        <v>449</v>
      </c>
      <c r="O450">
        <v>355580.34862291964</v>
      </c>
    </row>
    <row r="451" spans="14:15" x14ac:dyDescent="0.45">
      <c r="N451">
        <v>450</v>
      </c>
      <c r="O451">
        <v>359681.55973147909</v>
      </c>
    </row>
    <row r="452" spans="14:15" x14ac:dyDescent="0.45">
      <c r="N452">
        <v>451</v>
      </c>
      <c r="O452">
        <v>363535.23098080815</v>
      </c>
    </row>
    <row r="453" spans="14:15" x14ac:dyDescent="0.45">
      <c r="N453">
        <v>452</v>
      </c>
      <c r="O453">
        <v>365838.92234139901</v>
      </c>
    </row>
    <row r="454" spans="14:15" x14ac:dyDescent="0.45">
      <c r="N454">
        <v>453</v>
      </c>
      <c r="O454">
        <v>377201.01181166631</v>
      </c>
    </row>
    <row r="455" spans="14:15" x14ac:dyDescent="0.45">
      <c r="N455">
        <v>454</v>
      </c>
      <c r="O455">
        <v>371244.34980438987</v>
      </c>
    </row>
    <row r="456" spans="14:15" x14ac:dyDescent="0.45">
      <c r="N456">
        <v>455</v>
      </c>
      <c r="O456">
        <v>360970.53962008527</v>
      </c>
    </row>
    <row r="457" spans="14:15" x14ac:dyDescent="0.45">
      <c r="N457">
        <v>456</v>
      </c>
      <c r="O457">
        <v>363598.03422321199</v>
      </c>
    </row>
    <row r="458" spans="14:15" x14ac:dyDescent="0.45">
      <c r="N458">
        <v>457</v>
      </c>
      <c r="O458">
        <v>359180.7231209671</v>
      </c>
    </row>
    <row r="459" spans="14:15" x14ac:dyDescent="0.45">
      <c r="N459">
        <v>458</v>
      </c>
      <c r="O459">
        <v>371545.00036063814</v>
      </c>
    </row>
    <row r="460" spans="14:15" x14ac:dyDescent="0.45">
      <c r="N460">
        <v>459</v>
      </c>
      <c r="O460">
        <v>352796.04842273158</v>
      </c>
    </row>
    <row r="461" spans="14:15" x14ac:dyDescent="0.45">
      <c r="N461">
        <v>460</v>
      </c>
      <c r="O461">
        <v>373280.4212938883</v>
      </c>
    </row>
    <row r="462" spans="14:15" x14ac:dyDescent="0.45">
      <c r="N462">
        <v>461</v>
      </c>
      <c r="O462">
        <v>350528.18948509131</v>
      </c>
    </row>
    <row r="463" spans="14:15" x14ac:dyDescent="0.45">
      <c r="N463">
        <v>462</v>
      </c>
      <c r="O463">
        <v>371795.89913296024</v>
      </c>
    </row>
    <row r="464" spans="14:15" x14ac:dyDescent="0.45">
      <c r="N464">
        <v>463</v>
      </c>
      <c r="O464">
        <v>358928.1092629988</v>
      </c>
    </row>
    <row r="465" spans="14:15" x14ac:dyDescent="0.45">
      <c r="N465">
        <v>464</v>
      </c>
      <c r="O465">
        <v>361529.95306635858</v>
      </c>
    </row>
    <row r="466" spans="14:15" x14ac:dyDescent="0.45">
      <c r="N466">
        <v>465</v>
      </c>
      <c r="O466">
        <v>370960.35966662486</v>
      </c>
    </row>
    <row r="467" spans="14:15" x14ac:dyDescent="0.45">
      <c r="N467">
        <v>466</v>
      </c>
      <c r="O467">
        <v>352499.96445456432</v>
      </c>
    </row>
    <row r="468" spans="14:15" x14ac:dyDescent="0.45">
      <c r="N468">
        <v>467</v>
      </c>
      <c r="O468">
        <v>365839.50800520513</v>
      </c>
    </row>
    <row r="469" spans="14:15" x14ac:dyDescent="0.45">
      <c r="N469">
        <v>468</v>
      </c>
      <c r="O469">
        <v>351196.60069747071</v>
      </c>
    </row>
    <row r="470" spans="14:15" x14ac:dyDescent="0.45">
      <c r="N470">
        <v>469</v>
      </c>
      <c r="O470">
        <v>366091.98807046027</v>
      </c>
    </row>
    <row r="471" spans="14:15" x14ac:dyDescent="0.45">
      <c r="N471">
        <v>470</v>
      </c>
      <c r="O471">
        <v>368816.61086218106</v>
      </c>
    </row>
    <row r="472" spans="14:15" x14ac:dyDescent="0.45">
      <c r="N472">
        <v>471</v>
      </c>
      <c r="O472">
        <v>356903.25636153365</v>
      </c>
    </row>
    <row r="473" spans="14:15" x14ac:dyDescent="0.45">
      <c r="N473">
        <v>472</v>
      </c>
      <c r="O473">
        <v>359631.52052491362</v>
      </c>
    </row>
    <row r="474" spans="14:15" x14ac:dyDescent="0.45">
      <c r="N474">
        <v>473</v>
      </c>
      <c r="O474">
        <v>365198.31541667681</v>
      </c>
    </row>
    <row r="475" spans="14:15" x14ac:dyDescent="0.45">
      <c r="N475">
        <v>474</v>
      </c>
      <c r="O475">
        <v>365902.2652719341</v>
      </c>
    </row>
    <row r="476" spans="14:15" x14ac:dyDescent="0.45">
      <c r="N476">
        <v>475</v>
      </c>
      <c r="O476">
        <v>369797.63234093692</v>
      </c>
    </row>
    <row r="477" spans="14:15" x14ac:dyDescent="0.45">
      <c r="N477">
        <v>476</v>
      </c>
      <c r="O477">
        <v>356037.14451448934</v>
      </c>
    </row>
    <row r="478" spans="14:15" x14ac:dyDescent="0.45">
      <c r="N478">
        <v>477</v>
      </c>
      <c r="O478">
        <v>368393.02045209269</v>
      </c>
    </row>
    <row r="479" spans="14:15" x14ac:dyDescent="0.45">
      <c r="N479">
        <v>478</v>
      </c>
      <c r="O479">
        <v>363474.25468349538</v>
      </c>
    </row>
    <row r="480" spans="14:15" x14ac:dyDescent="0.45">
      <c r="N480">
        <v>479</v>
      </c>
      <c r="O480">
        <v>351477.78482261213</v>
      </c>
    </row>
    <row r="481" spans="14:15" x14ac:dyDescent="0.45">
      <c r="N481">
        <v>480</v>
      </c>
      <c r="O481">
        <v>359078.89434104448</v>
      </c>
    </row>
    <row r="482" spans="14:15" x14ac:dyDescent="0.45">
      <c r="N482">
        <v>481</v>
      </c>
      <c r="O482">
        <v>363368.5422614608</v>
      </c>
    </row>
    <row r="483" spans="14:15" x14ac:dyDescent="0.45">
      <c r="N483">
        <v>482</v>
      </c>
      <c r="O483">
        <v>370698.78499758866</v>
      </c>
    </row>
    <row r="484" spans="14:15" x14ac:dyDescent="0.45">
      <c r="N484">
        <v>483</v>
      </c>
      <c r="O484">
        <v>362964.45380588749</v>
      </c>
    </row>
    <row r="485" spans="14:15" x14ac:dyDescent="0.45">
      <c r="N485">
        <v>484</v>
      </c>
      <c r="O485">
        <v>344715.26367561723</v>
      </c>
    </row>
    <row r="486" spans="14:15" x14ac:dyDescent="0.45">
      <c r="N486">
        <v>485</v>
      </c>
      <c r="O486">
        <v>379623.98745394527</v>
      </c>
    </row>
    <row r="487" spans="14:15" x14ac:dyDescent="0.45">
      <c r="N487">
        <v>486</v>
      </c>
      <c r="O487">
        <v>357704.7306771772</v>
      </c>
    </row>
    <row r="488" spans="14:15" x14ac:dyDescent="0.45">
      <c r="N488">
        <v>487</v>
      </c>
      <c r="O488">
        <v>358073.50457504427</v>
      </c>
    </row>
    <row r="489" spans="14:15" x14ac:dyDescent="0.45">
      <c r="N489">
        <v>488</v>
      </c>
      <c r="O489">
        <v>367966.27503609058</v>
      </c>
    </row>
    <row r="490" spans="14:15" x14ac:dyDescent="0.45">
      <c r="N490">
        <v>489</v>
      </c>
      <c r="O490">
        <v>356525.56896244577</v>
      </c>
    </row>
    <row r="491" spans="14:15" x14ac:dyDescent="0.45">
      <c r="N491">
        <v>490</v>
      </c>
      <c r="O491">
        <v>359932.75874743122</v>
      </c>
    </row>
    <row r="492" spans="14:15" x14ac:dyDescent="0.45">
      <c r="N492">
        <v>491</v>
      </c>
      <c r="O492">
        <v>370480.60083430004</v>
      </c>
    </row>
    <row r="493" spans="14:15" x14ac:dyDescent="0.45">
      <c r="N493">
        <v>492</v>
      </c>
      <c r="O493">
        <v>360613.60128535132</v>
      </c>
    </row>
    <row r="494" spans="14:15" x14ac:dyDescent="0.45">
      <c r="N494">
        <v>493</v>
      </c>
      <c r="O494">
        <v>358140.8366356531</v>
      </c>
    </row>
    <row r="495" spans="14:15" x14ac:dyDescent="0.45">
      <c r="N495">
        <v>494</v>
      </c>
      <c r="O495">
        <v>362046.59056002274</v>
      </c>
    </row>
    <row r="496" spans="14:15" x14ac:dyDescent="0.45">
      <c r="N496">
        <v>495</v>
      </c>
      <c r="O496">
        <v>350598.30622305581</v>
      </c>
    </row>
    <row r="497" spans="14:15" x14ac:dyDescent="0.45">
      <c r="N497">
        <v>496</v>
      </c>
      <c r="O497">
        <v>365715.16995420243</v>
      </c>
    </row>
    <row r="498" spans="14:15" x14ac:dyDescent="0.45">
      <c r="N498">
        <v>497</v>
      </c>
      <c r="O498">
        <v>353606.31263187865</v>
      </c>
    </row>
    <row r="499" spans="14:15" x14ac:dyDescent="0.45">
      <c r="N499">
        <v>498</v>
      </c>
      <c r="O499">
        <v>364233.16150034772</v>
      </c>
    </row>
    <row r="500" spans="14:15" x14ac:dyDescent="0.45">
      <c r="N500">
        <v>499</v>
      </c>
      <c r="O500">
        <v>365947.22215298604</v>
      </c>
    </row>
    <row r="501" spans="14:15" x14ac:dyDescent="0.45">
      <c r="N501">
        <v>500</v>
      </c>
      <c r="O501">
        <v>358018.7940980171</v>
      </c>
    </row>
    <row r="502" spans="14:15" x14ac:dyDescent="0.45">
      <c r="N502">
        <v>501</v>
      </c>
      <c r="O502">
        <v>364542.56285953627</v>
      </c>
    </row>
    <row r="503" spans="14:15" x14ac:dyDescent="0.45">
      <c r="N503">
        <v>502</v>
      </c>
      <c r="O503">
        <v>355851.05747562845</v>
      </c>
    </row>
    <row r="504" spans="14:15" x14ac:dyDescent="0.45">
      <c r="N504">
        <v>503</v>
      </c>
      <c r="O504">
        <v>352400.01155470172</v>
      </c>
    </row>
    <row r="505" spans="14:15" x14ac:dyDescent="0.45">
      <c r="N505">
        <v>504</v>
      </c>
      <c r="O505">
        <v>359959.04986915516</v>
      </c>
    </row>
    <row r="506" spans="14:15" x14ac:dyDescent="0.45">
      <c r="N506">
        <v>505</v>
      </c>
      <c r="O506">
        <v>358044.86163085495</v>
      </c>
    </row>
    <row r="507" spans="14:15" x14ac:dyDescent="0.45">
      <c r="N507">
        <v>506</v>
      </c>
      <c r="O507">
        <v>362926.71323299193</v>
      </c>
    </row>
    <row r="508" spans="14:15" x14ac:dyDescent="0.45">
      <c r="N508">
        <v>507</v>
      </c>
      <c r="O508">
        <v>353876.00217172748</v>
      </c>
    </row>
    <row r="509" spans="14:15" x14ac:dyDescent="0.45">
      <c r="N509">
        <v>508</v>
      </c>
      <c r="O509">
        <v>371972.24874240893</v>
      </c>
    </row>
    <row r="510" spans="14:15" x14ac:dyDescent="0.45">
      <c r="N510">
        <v>509</v>
      </c>
      <c r="O510">
        <v>366314.36476871156</v>
      </c>
    </row>
    <row r="511" spans="14:15" x14ac:dyDescent="0.45">
      <c r="N511">
        <v>510</v>
      </c>
      <c r="O511">
        <v>356175.91883412516</v>
      </c>
    </row>
    <row r="512" spans="14:15" x14ac:dyDescent="0.45">
      <c r="N512">
        <v>511</v>
      </c>
      <c r="O512">
        <v>363208.77152124583</v>
      </c>
    </row>
    <row r="513" spans="14:15" x14ac:dyDescent="0.45">
      <c r="N513">
        <v>512</v>
      </c>
      <c r="O513">
        <v>369105.93484488304</v>
      </c>
    </row>
    <row r="514" spans="14:15" x14ac:dyDescent="0.45">
      <c r="N514">
        <v>513</v>
      </c>
      <c r="O514">
        <v>359220.40842975944</v>
      </c>
    </row>
    <row r="515" spans="14:15" x14ac:dyDescent="0.45">
      <c r="N515">
        <v>514</v>
      </c>
      <c r="O515">
        <v>359956.23551523831</v>
      </c>
    </row>
    <row r="516" spans="14:15" x14ac:dyDescent="0.45">
      <c r="N516">
        <v>515</v>
      </c>
      <c r="O516">
        <v>340593.22292087501</v>
      </c>
    </row>
    <row r="517" spans="14:15" x14ac:dyDescent="0.45">
      <c r="N517">
        <v>516</v>
      </c>
      <c r="O517">
        <v>366389.69390733255</v>
      </c>
    </row>
    <row r="518" spans="14:15" x14ac:dyDescent="0.45">
      <c r="N518">
        <v>517</v>
      </c>
      <c r="O518">
        <v>355781.62635158084</v>
      </c>
    </row>
    <row r="519" spans="14:15" x14ac:dyDescent="0.45">
      <c r="N519">
        <v>518</v>
      </c>
      <c r="O519">
        <v>360356.3949098594</v>
      </c>
    </row>
    <row r="520" spans="14:15" x14ac:dyDescent="0.45">
      <c r="N520">
        <v>519</v>
      </c>
      <c r="O520">
        <v>364104.24301414768</v>
      </c>
    </row>
    <row r="521" spans="14:15" x14ac:dyDescent="0.45">
      <c r="N521">
        <v>520</v>
      </c>
      <c r="O521">
        <v>367021.57208345819</v>
      </c>
    </row>
    <row r="522" spans="14:15" x14ac:dyDescent="0.45">
      <c r="N522">
        <v>521</v>
      </c>
      <c r="O522">
        <v>367625.51641548786</v>
      </c>
    </row>
    <row r="523" spans="14:15" x14ac:dyDescent="0.45">
      <c r="N523">
        <v>522</v>
      </c>
      <c r="O523">
        <v>360970.80480924406</v>
      </c>
    </row>
    <row r="524" spans="14:15" x14ac:dyDescent="0.45">
      <c r="N524">
        <v>523</v>
      </c>
      <c r="O524">
        <v>357454.83419291524</v>
      </c>
    </row>
    <row r="525" spans="14:15" x14ac:dyDescent="0.45">
      <c r="N525">
        <v>524</v>
      </c>
      <c r="O525">
        <v>371718.77573231881</v>
      </c>
    </row>
    <row r="526" spans="14:15" x14ac:dyDescent="0.45">
      <c r="N526">
        <v>525</v>
      </c>
      <c r="O526">
        <v>367411.54461200332</v>
      </c>
    </row>
    <row r="527" spans="14:15" x14ac:dyDescent="0.45">
      <c r="N527">
        <v>526</v>
      </c>
      <c r="O527">
        <v>371403.71023234428</v>
      </c>
    </row>
    <row r="528" spans="14:15" x14ac:dyDescent="0.45">
      <c r="N528">
        <v>527</v>
      </c>
      <c r="O528">
        <v>359335.41098932817</v>
      </c>
    </row>
    <row r="529" spans="14:15" x14ac:dyDescent="0.45">
      <c r="N529">
        <v>528</v>
      </c>
      <c r="O529">
        <v>358266.86401177483</v>
      </c>
    </row>
    <row r="530" spans="14:15" x14ac:dyDescent="0.45">
      <c r="N530">
        <v>529</v>
      </c>
      <c r="O530">
        <v>365605.14774951123</v>
      </c>
    </row>
    <row r="531" spans="14:15" x14ac:dyDescent="0.45">
      <c r="N531">
        <v>530</v>
      </c>
      <c r="O531">
        <v>369817.9358303998</v>
      </c>
    </row>
    <row r="532" spans="14:15" x14ac:dyDescent="0.45">
      <c r="N532">
        <v>531</v>
      </c>
      <c r="O532">
        <v>356952.18128378614</v>
      </c>
    </row>
    <row r="533" spans="14:15" x14ac:dyDescent="0.45">
      <c r="N533">
        <v>532</v>
      </c>
      <c r="O533">
        <v>376546.81145873189</v>
      </c>
    </row>
    <row r="534" spans="14:15" x14ac:dyDescent="0.45">
      <c r="N534">
        <v>533</v>
      </c>
      <c r="O534">
        <v>351617.81069625646</v>
      </c>
    </row>
    <row r="535" spans="14:15" x14ac:dyDescent="0.45">
      <c r="N535">
        <v>534</v>
      </c>
      <c r="O535">
        <v>370834.15758147411</v>
      </c>
    </row>
    <row r="536" spans="14:15" x14ac:dyDescent="0.45">
      <c r="N536">
        <v>535</v>
      </c>
      <c r="O536">
        <v>350097.81185366155</v>
      </c>
    </row>
    <row r="537" spans="14:15" x14ac:dyDescent="0.45">
      <c r="N537">
        <v>536</v>
      </c>
      <c r="O537">
        <v>371135.46324736613</v>
      </c>
    </row>
    <row r="538" spans="14:15" x14ac:dyDescent="0.45">
      <c r="N538">
        <v>537</v>
      </c>
      <c r="O538">
        <v>360919.28384946653</v>
      </c>
    </row>
    <row r="539" spans="14:15" x14ac:dyDescent="0.45">
      <c r="N539">
        <v>538</v>
      </c>
      <c r="O539">
        <v>363105.87528663944</v>
      </c>
    </row>
    <row r="540" spans="14:15" x14ac:dyDescent="0.45">
      <c r="N540">
        <v>539</v>
      </c>
      <c r="O540">
        <v>363362.96115188871</v>
      </c>
    </row>
    <row r="541" spans="14:15" x14ac:dyDescent="0.45">
      <c r="N541">
        <v>540</v>
      </c>
      <c r="O541">
        <v>354781.20026793535</v>
      </c>
    </row>
    <row r="542" spans="14:15" x14ac:dyDescent="0.45">
      <c r="N542">
        <v>541</v>
      </c>
      <c r="O542">
        <v>362129.34820169711</v>
      </c>
    </row>
    <row r="543" spans="14:15" x14ac:dyDescent="0.45">
      <c r="N543">
        <v>542</v>
      </c>
      <c r="O543">
        <v>364966.06021862174</v>
      </c>
    </row>
    <row r="544" spans="14:15" x14ac:dyDescent="0.45">
      <c r="N544">
        <v>543</v>
      </c>
      <c r="O544">
        <v>358026.57601813303</v>
      </c>
    </row>
    <row r="545" spans="14:15" x14ac:dyDescent="0.45">
      <c r="N545">
        <v>544</v>
      </c>
      <c r="O545">
        <v>355982.85475005512</v>
      </c>
    </row>
    <row r="546" spans="14:15" x14ac:dyDescent="0.45">
      <c r="N546">
        <v>545</v>
      </c>
      <c r="O546">
        <v>371321.69832216459</v>
      </c>
    </row>
    <row r="547" spans="14:15" x14ac:dyDescent="0.45">
      <c r="N547">
        <v>546</v>
      </c>
      <c r="O547">
        <v>355224.46969506034</v>
      </c>
    </row>
    <row r="548" spans="14:15" x14ac:dyDescent="0.45">
      <c r="N548">
        <v>547</v>
      </c>
      <c r="O548">
        <v>378952.35520858259</v>
      </c>
    </row>
    <row r="549" spans="14:15" x14ac:dyDescent="0.45">
      <c r="N549">
        <v>548</v>
      </c>
      <c r="O549">
        <v>350290.60569377476</v>
      </c>
    </row>
    <row r="550" spans="14:15" x14ac:dyDescent="0.45">
      <c r="N550">
        <v>549</v>
      </c>
      <c r="O550">
        <v>360590.76911762229</v>
      </c>
    </row>
    <row r="551" spans="14:15" x14ac:dyDescent="0.45">
      <c r="N551">
        <v>550</v>
      </c>
      <c r="O551">
        <v>355360.45367165102</v>
      </c>
    </row>
    <row r="552" spans="14:15" x14ac:dyDescent="0.45">
      <c r="N552">
        <v>551</v>
      </c>
      <c r="O552">
        <v>369551.55542929925</v>
      </c>
    </row>
    <row r="553" spans="14:15" x14ac:dyDescent="0.45">
      <c r="N553">
        <v>552</v>
      </c>
      <c r="O553">
        <v>356392.87139493716</v>
      </c>
    </row>
    <row r="554" spans="14:15" x14ac:dyDescent="0.45">
      <c r="N554">
        <v>553</v>
      </c>
      <c r="O554">
        <v>358377.47639683069</v>
      </c>
    </row>
    <row r="555" spans="14:15" x14ac:dyDescent="0.45">
      <c r="N555">
        <v>554</v>
      </c>
      <c r="O555">
        <v>358612.12254127837</v>
      </c>
    </row>
    <row r="556" spans="14:15" x14ac:dyDescent="0.45">
      <c r="N556">
        <v>555</v>
      </c>
      <c r="O556">
        <v>364344.55933273275</v>
      </c>
    </row>
    <row r="557" spans="14:15" x14ac:dyDescent="0.45">
      <c r="N557">
        <v>556</v>
      </c>
      <c r="O557">
        <v>367051.64225764317</v>
      </c>
    </row>
    <row r="558" spans="14:15" x14ac:dyDescent="0.45">
      <c r="N558">
        <v>557</v>
      </c>
      <c r="O558">
        <v>355840.41525997355</v>
      </c>
    </row>
    <row r="559" spans="14:15" x14ac:dyDescent="0.45">
      <c r="N559">
        <v>558</v>
      </c>
      <c r="O559">
        <v>352855.9283079296</v>
      </c>
    </row>
    <row r="560" spans="14:15" x14ac:dyDescent="0.45">
      <c r="N560">
        <v>559</v>
      </c>
      <c r="O560">
        <v>356769.68541708961</v>
      </c>
    </row>
    <row r="561" spans="14:15" x14ac:dyDescent="0.45">
      <c r="N561">
        <v>560</v>
      </c>
      <c r="O561">
        <v>368743.74366840353</v>
      </c>
    </row>
    <row r="562" spans="14:15" x14ac:dyDescent="0.45">
      <c r="N562">
        <v>561</v>
      </c>
      <c r="O562">
        <v>361751.79797883041</v>
      </c>
    </row>
    <row r="563" spans="14:15" x14ac:dyDescent="0.45">
      <c r="N563">
        <v>562</v>
      </c>
      <c r="O563">
        <v>355815.33890424448</v>
      </c>
    </row>
    <row r="564" spans="14:15" x14ac:dyDescent="0.45">
      <c r="N564">
        <v>563</v>
      </c>
      <c r="O564">
        <v>359402.83597247198</v>
      </c>
    </row>
    <row r="565" spans="14:15" x14ac:dyDescent="0.45">
      <c r="N565">
        <v>564</v>
      </c>
      <c r="O565">
        <v>365736.0001182729</v>
      </c>
    </row>
    <row r="566" spans="14:15" x14ac:dyDescent="0.45">
      <c r="N566">
        <v>565</v>
      </c>
      <c r="O566">
        <v>358392.99222733022</v>
      </c>
    </row>
    <row r="567" spans="14:15" x14ac:dyDescent="0.45">
      <c r="N567">
        <v>566</v>
      </c>
      <c r="O567">
        <v>367949.07750430203</v>
      </c>
    </row>
    <row r="568" spans="14:15" x14ac:dyDescent="0.45">
      <c r="N568">
        <v>567</v>
      </c>
      <c r="O568">
        <v>359667.05518245051</v>
      </c>
    </row>
    <row r="569" spans="14:15" x14ac:dyDescent="0.45">
      <c r="N569">
        <v>568</v>
      </c>
      <c r="O569">
        <v>370257.85172987636</v>
      </c>
    </row>
    <row r="570" spans="14:15" x14ac:dyDescent="0.45">
      <c r="N570">
        <v>569</v>
      </c>
      <c r="O570">
        <v>372560.34521434846</v>
      </c>
    </row>
    <row r="571" spans="14:15" x14ac:dyDescent="0.45">
      <c r="N571">
        <v>570</v>
      </c>
      <c r="O571">
        <v>361773.18916614639</v>
      </c>
    </row>
    <row r="572" spans="14:15" x14ac:dyDescent="0.45">
      <c r="N572">
        <v>571</v>
      </c>
      <c r="O572">
        <v>341564.76851100684</v>
      </c>
    </row>
    <row r="573" spans="14:15" x14ac:dyDescent="0.45">
      <c r="N573">
        <v>572</v>
      </c>
      <c r="O573">
        <v>363009.13809569814</v>
      </c>
    </row>
    <row r="574" spans="14:15" x14ac:dyDescent="0.45">
      <c r="N574">
        <v>573</v>
      </c>
      <c r="O574">
        <v>357621.93264707626</v>
      </c>
    </row>
    <row r="575" spans="14:15" x14ac:dyDescent="0.45">
      <c r="N575">
        <v>574</v>
      </c>
      <c r="O575">
        <v>346045.16699708102</v>
      </c>
    </row>
    <row r="576" spans="14:15" x14ac:dyDescent="0.45">
      <c r="N576">
        <v>575</v>
      </c>
      <c r="O576">
        <v>360004.15727413009</v>
      </c>
    </row>
    <row r="577" spans="14:15" x14ac:dyDescent="0.45">
      <c r="N577">
        <v>576</v>
      </c>
      <c r="O577">
        <v>354914.14979586302</v>
      </c>
    </row>
    <row r="578" spans="14:15" x14ac:dyDescent="0.45">
      <c r="N578">
        <v>577</v>
      </c>
      <c r="O578">
        <v>353005.09954519407</v>
      </c>
    </row>
    <row r="579" spans="14:15" x14ac:dyDescent="0.45">
      <c r="N579">
        <v>578</v>
      </c>
      <c r="O579">
        <v>358740.70084698981</v>
      </c>
    </row>
    <row r="580" spans="14:15" x14ac:dyDescent="0.45">
      <c r="N580">
        <v>579</v>
      </c>
      <c r="O580">
        <v>353141.04345133796</v>
      </c>
    </row>
    <row r="581" spans="14:15" x14ac:dyDescent="0.45">
      <c r="N581">
        <v>580</v>
      </c>
      <c r="O581">
        <v>366605.01823593519</v>
      </c>
    </row>
    <row r="582" spans="14:15" x14ac:dyDescent="0.45">
      <c r="N582">
        <v>581</v>
      </c>
      <c r="O582">
        <v>375810.09640799381</v>
      </c>
    </row>
    <row r="583" spans="14:15" x14ac:dyDescent="0.45">
      <c r="N583">
        <v>582</v>
      </c>
      <c r="O583">
        <v>351413.19388589548</v>
      </c>
    </row>
    <row r="584" spans="14:15" x14ac:dyDescent="0.45">
      <c r="N584">
        <v>583</v>
      </c>
      <c r="O584">
        <v>353865.58282266423</v>
      </c>
    </row>
    <row r="585" spans="14:15" x14ac:dyDescent="0.45">
      <c r="N585">
        <v>584</v>
      </c>
      <c r="O585">
        <v>362254.50141416042</v>
      </c>
    </row>
    <row r="586" spans="14:15" x14ac:dyDescent="0.45">
      <c r="N586">
        <v>585</v>
      </c>
      <c r="O586">
        <v>359352.62720691855</v>
      </c>
    </row>
    <row r="587" spans="14:15" x14ac:dyDescent="0.45">
      <c r="N587">
        <v>586</v>
      </c>
      <c r="O587">
        <v>377080.21752934007</v>
      </c>
    </row>
    <row r="588" spans="14:15" x14ac:dyDescent="0.45">
      <c r="N588">
        <v>587</v>
      </c>
      <c r="O588">
        <v>364148.01331925497</v>
      </c>
    </row>
    <row r="589" spans="14:15" x14ac:dyDescent="0.45">
      <c r="N589">
        <v>588</v>
      </c>
      <c r="O589">
        <v>368777.95621520025</v>
      </c>
    </row>
    <row r="590" spans="14:15" x14ac:dyDescent="0.45">
      <c r="N590">
        <v>589</v>
      </c>
      <c r="O590">
        <v>349516.27755610493</v>
      </c>
    </row>
    <row r="591" spans="14:15" x14ac:dyDescent="0.45">
      <c r="N591">
        <v>590</v>
      </c>
      <c r="O591">
        <v>359709.74520265602</v>
      </c>
    </row>
    <row r="592" spans="14:15" x14ac:dyDescent="0.45">
      <c r="N592">
        <v>591</v>
      </c>
      <c r="O592">
        <v>356133.99620465242</v>
      </c>
    </row>
    <row r="593" spans="14:15" x14ac:dyDescent="0.45">
      <c r="N593">
        <v>592</v>
      </c>
      <c r="O593">
        <v>357387.21908876434</v>
      </c>
    </row>
    <row r="594" spans="14:15" x14ac:dyDescent="0.45">
      <c r="N594">
        <v>593</v>
      </c>
      <c r="O594">
        <v>361540.7976273516</v>
      </c>
    </row>
    <row r="595" spans="14:15" x14ac:dyDescent="0.45">
      <c r="N595">
        <v>594</v>
      </c>
      <c r="O595">
        <v>348509.77790609101</v>
      </c>
    </row>
    <row r="596" spans="14:15" x14ac:dyDescent="0.45">
      <c r="N596">
        <v>595</v>
      </c>
      <c r="O596">
        <v>347793.69282683992</v>
      </c>
    </row>
    <row r="597" spans="14:15" x14ac:dyDescent="0.45">
      <c r="N597">
        <v>596</v>
      </c>
      <c r="O597">
        <v>351649.76281428069</v>
      </c>
    </row>
    <row r="598" spans="14:15" x14ac:dyDescent="0.45">
      <c r="N598">
        <v>597</v>
      </c>
      <c r="O598">
        <v>373614.8351047702</v>
      </c>
    </row>
    <row r="599" spans="14:15" x14ac:dyDescent="0.45">
      <c r="N599">
        <v>598</v>
      </c>
      <c r="O599">
        <v>367167.09405006142</v>
      </c>
    </row>
    <row r="600" spans="14:15" x14ac:dyDescent="0.45">
      <c r="N600">
        <v>599</v>
      </c>
      <c r="O600">
        <v>371180.547986536</v>
      </c>
    </row>
    <row r="601" spans="14:15" x14ac:dyDescent="0.45">
      <c r="N601">
        <v>600</v>
      </c>
      <c r="O601">
        <v>363096.50464746013</v>
      </c>
    </row>
    <row r="602" spans="14:15" x14ac:dyDescent="0.45">
      <c r="N602">
        <v>601</v>
      </c>
      <c r="O602">
        <v>363605.32406331709</v>
      </c>
    </row>
    <row r="603" spans="14:15" x14ac:dyDescent="0.45">
      <c r="N603">
        <v>602</v>
      </c>
      <c r="O603">
        <v>379810.70191341377</v>
      </c>
    </row>
    <row r="604" spans="14:15" x14ac:dyDescent="0.45">
      <c r="N604">
        <v>603</v>
      </c>
      <c r="O604">
        <v>356268.82643474621</v>
      </c>
    </row>
    <row r="605" spans="14:15" x14ac:dyDescent="0.45">
      <c r="N605">
        <v>604</v>
      </c>
      <c r="O605">
        <v>368560.52421358798</v>
      </c>
    </row>
    <row r="606" spans="14:15" x14ac:dyDescent="0.45">
      <c r="N606">
        <v>605</v>
      </c>
      <c r="O606">
        <v>362666.19178096275</v>
      </c>
    </row>
    <row r="607" spans="14:15" x14ac:dyDescent="0.45">
      <c r="N607">
        <v>606</v>
      </c>
      <c r="O607">
        <v>367511.83690482366</v>
      </c>
    </row>
    <row r="608" spans="14:15" x14ac:dyDescent="0.45">
      <c r="N608">
        <v>607</v>
      </c>
      <c r="O608">
        <v>363131.02591655898</v>
      </c>
    </row>
    <row r="609" spans="14:15" x14ac:dyDescent="0.45">
      <c r="N609">
        <v>608</v>
      </c>
      <c r="O609">
        <v>351253.99814053567</v>
      </c>
    </row>
    <row r="610" spans="14:15" x14ac:dyDescent="0.45">
      <c r="N610">
        <v>609</v>
      </c>
      <c r="O610">
        <v>362985.9638786721</v>
      </c>
    </row>
    <row r="611" spans="14:15" x14ac:dyDescent="0.45">
      <c r="N611">
        <v>610</v>
      </c>
      <c r="O611">
        <v>352413.31448602508</v>
      </c>
    </row>
    <row r="612" spans="14:15" x14ac:dyDescent="0.45">
      <c r="N612">
        <v>611</v>
      </c>
      <c r="O612">
        <v>362981.18579658837</v>
      </c>
    </row>
    <row r="613" spans="14:15" x14ac:dyDescent="0.45">
      <c r="N613">
        <v>612</v>
      </c>
      <c r="O613">
        <v>375378.51775448659</v>
      </c>
    </row>
    <row r="614" spans="14:15" x14ac:dyDescent="0.45">
      <c r="N614">
        <v>613</v>
      </c>
      <c r="O614">
        <v>361143.39968486148</v>
      </c>
    </row>
    <row r="615" spans="14:15" x14ac:dyDescent="0.45">
      <c r="N615">
        <v>614</v>
      </c>
      <c r="O615">
        <v>364387.42892174493</v>
      </c>
    </row>
    <row r="616" spans="14:15" x14ac:dyDescent="0.45">
      <c r="N616">
        <v>615</v>
      </c>
      <c r="O616">
        <v>363854.75732115458</v>
      </c>
    </row>
    <row r="617" spans="14:15" x14ac:dyDescent="0.45">
      <c r="N617">
        <v>616</v>
      </c>
      <c r="O617">
        <v>357659.12702548213</v>
      </c>
    </row>
    <row r="618" spans="14:15" x14ac:dyDescent="0.45">
      <c r="N618">
        <v>617</v>
      </c>
      <c r="O618">
        <v>360632.3121383579</v>
      </c>
    </row>
    <row r="619" spans="14:15" x14ac:dyDescent="0.45">
      <c r="N619">
        <v>618</v>
      </c>
      <c r="O619">
        <v>364258.21968999651</v>
      </c>
    </row>
    <row r="620" spans="14:15" x14ac:dyDescent="0.45">
      <c r="N620">
        <v>619</v>
      </c>
      <c r="O620">
        <v>370828.87226636679</v>
      </c>
    </row>
    <row r="621" spans="14:15" x14ac:dyDescent="0.45">
      <c r="N621">
        <v>620</v>
      </c>
      <c r="O621">
        <v>358472.37088435114</v>
      </c>
    </row>
    <row r="622" spans="14:15" x14ac:dyDescent="0.45">
      <c r="N622">
        <v>621</v>
      </c>
      <c r="O622">
        <v>364367.91157576529</v>
      </c>
    </row>
    <row r="623" spans="14:15" x14ac:dyDescent="0.45">
      <c r="N623">
        <v>622</v>
      </c>
      <c r="O623">
        <v>365771.08752948203</v>
      </c>
    </row>
    <row r="624" spans="14:15" x14ac:dyDescent="0.45">
      <c r="N624">
        <v>623</v>
      </c>
      <c r="O624">
        <v>366440.08329286298</v>
      </c>
    </row>
    <row r="625" spans="14:15" x14ac:dyDescent="0.45">
      <c r="N625">
        <v>624</v>
      </c>
      <c r="O625">
        <v>364326.17428399483</v>
      </c>
    </row>
    <row r="626" spans="14:15" x14ac:dyDescent="0.45">
      <c r="N626">
        <v>625</v>
      </c>
      <c r="O626">
        <v>357771.87867049122</v>
      </c>
    </row>
    <row r="627" spans="14:15" x14ac:dyDescent="0.45">
      <c r="N627">
        <v>626</v>
      </c>
      <c r="O627">
        <v>362417.29314154491</v>
      </c>
    </row>
    <row r="628" spans="14:15" x14ac:dyDescent="0.45">
      <c r="N628">
        <v>627</v>
      </c>
      <c r="O628">
        <v>345944.52257247624</v>
      </c>
    </row>
    <row r="629" spans="14:15" x14ac:dyDescent="0.45">
      <c r="N629">
        <v>628</v>
      </c>
      <c r="O629">
        <v>366984.42021533084</v>
      </c>
    </row>
    <row r="630" spans="14:15" x14ac:dyDescent="0.45">
      <c r="N630">
        <v>629</v>
      </c>
      <c r="O630">
        <v>340484.28717887076</v>
      </c>
    </row>
    <row r="631" spans="14:15" x14ac:dyDescent="0.45">
      <c r="N631">
        <v>630</v>
      </c>
      <c r="O631">
        <v>357672.19410887163</v>
      </c>
    </row>
    <row r="632" spans="14:15" x14ac:dyDescent="0.45">
      <c r="N632">
        <v>631</v>
      </c>
      <c r="O632">
        <v>374602.85987826879</v>
      </c>
    </row>
    <row r="633" spans="14:15" x14ac:dyDescent="0.45">
      <c r="N633">
        <v>632</v>
      </c>
      <c r="O633">
        <v>351377.69626320561</v>
      </c>
    </row>
    <row r="634" spans="14:15" x14ac:dyDescent="0.45">
      <c r="N634">
        <v>633</v>
      </c>
      <c r="O634">
        <v>358611.34306275798</v>
      </c>
    </row>
    <row r="635" spans="14:15" x14ac:dyDescent="0.45">
      <c r="N635">
        <v>634</v>
      </c>
      <c r="O635">
        <v>365634.01525287225</v>
      </c>
    </row>
    <row r="636" spans="14:15" x14ac:dyDescent="0.45">
      <c r="N636">
        <v>635</v>
      </c>
      <c r="O636">
        <v>366207.33480032807</v>
      </c>
    </row>
    <row r="637" spans="14:15" x14ac:dyDescent="0.45">
      <c r="N637">
        <v>636</v>
      </c>
      <c r="O637">
        <v>349465.45685935672</v>
      </c>
    </row>
    <row r="638" spans="14:15" x14ac:dyDescent="0.45">
      <c r="N638">
        <v>637</v>
      </c>
      <c r="O638">
        <v>361753.95810646366</v>
      </c>
    </row>
    <row r="639" spans="14:15" x14ac:dyDescent="0.45">
      <c r="N639">
        <v>638</v>
      </c>
      <c r="O639">
        <v>352419.4389081808</v>
      </c>
    </row>
    <row r="640" spans="14:15" x14ac:dyDescent="0.45">
      <c r="N640">
        <v>639</v>
      </c>
      <c r="O640">
        <v>374117.83377140475</v>
      </c>
    </row>
    <row r="641" spans="14:15" x14ac:dyDescent="0.45">
      <c r="N641">
        <v>640</v>
      </c>
      <c r="O641">
        <v>372738.71519464382</v>
      </c>
    </row>
    <row r="642" spans="14:15" x14ac:dyDescent="0.45">
      <c r="N642">
        <v>641</v>
      </c>
      <c r="O642">
        <v>371252.20313692687</v>
      </c>
    </row>
    <row r="643" spans="14:15" x14ac:dyDescent="0.45">
      <c r="N643">
        <v>642</v>
      </c>
      <c r="O643">
        <v>359771.59457724774</v>
      </c>
    </row>
    <row r="644" spans="14:15" x14ac:dyDescent="0.45">
      <c r="N644">
        <v>643</v>
      </c>
      <c r="O644">
        <v>369825.61720350257</v>
      </c>
    </row>
    <row r="645" spans="14:15" x14ac:dyDescent="0.45">
      <c r="N645">
        <v>644</v>
      </c>
      <c r="O645">
        <v>372265.37242657162</v>
      </c>
    </row>
    <row r="646" spans="14:15" x14ac:dyDescent="0.45">
      <c r="N646">
        <v>645</v>
      </c>
      <c r="O646">
        <v>363528.54330733541</v>
      </c>
    </row>
    <row r="647" spans="14:15" x14ac:dyDescent="0.45">
      <c r="N647">
        <v>646</v>
      </c>
      <c r="O647">
        <v>359821.41799169237</v>
      </c>
    </row>
    <row r="648" spans="14:15" x14ac:dyDescent="0.45">
      <c r="N648">
        <v>647</v>
      </c>
      <c r="O648">
        <v>364434.22054406937</v>
      </c>
    </row>
    <row r="649" spans="14:15" x14ac:dyDescent="0.45">
      <c r="N649">
        <v>648</v>
      </c>
      <c r="O649">
        <v>369927.03573011939</v>
      </c>
    </row>
    <row r="650" spans="14:15" x14ac:dyDescent="0.45">
      <c r="N650">
        <v>649</v>
      </c>
      <c r="O650">
        <v>362420.72953417792</v>
      </c>
    </row>
    <row r="651" spans="14:15" x14ac:dyDescent="0.45">
      <c r="N651">
        <v>650</v>
      </c>
      <c r="O651">
        <v>350002.61316164385</v>
      </c>
    </row>
    <row r="652" spans="14:15" x14ac:dyDescent="0.45">
      <c r="N652">
        <v>651</v>
      </c>
      <c r="O652">
        <v>365267.44008217345</v>
      </c>
    </row>
    <row r="653" spans="14:15" x14ac:dyDescent="0.45">
      <c r="N653">
        <v>652</v>
      </c>
      <c r="O653">
        <v>352792.3274619279</v>
      </c>
    </row>
    <row r="654" spans="14:15" x14ac:dyDescent="0.45">
      <c r="N654">
        <v>653</v>
      </c>
      <c r="O654">
        <v>352358.76548520103</v>
      </c>
    </row>
    <row r="655" spans="14:15" x14ac:dyDescent="0.45">
      <c r="N655">
        <v>654</v>
      </c>
      <c r="O655">
        <v>368703.8450104603</v>
      </c>
    </row>
    <row r="656" spans="14:15" x14ac:dyDescent="0.45">
      <c r="N656">
        <v>655</v>
      </c>
      <c r="O656">
        <v>375755.77136767039</v>
      </c>
    </row>
    <row r="657" spans="14:15" x14ac:dyDescent="0.45">
      <c r="N657">
        <v>656</v>
      </c>
      <c r="O657">
        <v>360775.52285820543</v>
      </c>
    </row>
    <row r="658" spans="14:15" x14ac:dyDescent="0.45">
      <c r="N658">
        <v>657</v>
      </c>
      <c r="O658">
        <v>366982.53574977751</v>
      </c>
    </row>
    <row r="659" spans="14:15" x14ac:dyDescent="0.45">
      <c r="N659">
        <v>658</v>
      </c>
      <c r="O659">
        <v>358549.93142289849</v>
      </c>
    </row>
    <row r="660" spans="14:15" x14ac:dyDescent="0.45">
      <c r="N660">
        <v>659</v>
      </c>
      <c r="O660">
        <v>359687.97559897817</v>
      </c>
    </row>
    <row r="661" spans="14:15" x14ac:dyDescent="0.45">
      <c r="N661">
        <v>660</v>
      </c>
      <c r="O661">
        <v>368676.25153632072</v>
      </c>
    </row>
    <row r="662" spans="14:15" x14ac:dyDescent="0.45">
      <c r="N662">
        <v>661</v>
      </c>
      <c r="O662">
        <v>356314.12167117069</v>
      </c>
    </row>
    <row r="663" spans="14:15" x14ac:dyDescent="0.45">
      <c r="N663">
        <v>662</v>
      </c>
      <c r="O663">
        <v>366624.93728565308</v>
      </c>
    </row>
    <row r="664" spans="14:15" x14ac:dyDescent="0.45">
      <c r="N664">
        <v>663</v>
      </c>
      <c r="O664">
        <v>349261.45898335922</v>
      </c>
    </row>
    <row r="665" spans="14:15" x14ac:dyDescent="0.45">
      <c r="N665">
        <v>664</v>
      </c>
      <c r="O665">
        <v>368567.59349116276</v>
      </c>
    </row>
    <row r="666" spans="14:15" x14ac:dyDescent="0.45">
      <c r="N666">
        <v>665</v>
      </c>
      <c r="O666">
        <v>363107.37493222853</v>
      </c>
    </row>
    <row r="667" spans="14:15" x14ac:dyDescent="0.45">
      <c r="N667">
        <v>666</v>
      </c>
      <c r="O667">
        <v>364760.65896660497</v>
      </c>
    </row>
    <row r="668" spans="14:15" x14ac:dyDescent="0.45">
      <c r="N668">
        <v>667</v>
      </c>
      <c r="O668">
        <v>368472.75005707808</v>
      </c>
    </row>
    <row r="669" spans="14:15" x14ac:dyDescent="0.45">
      <c r="N669">
        <v>668</v>
      </c>
      <c r="O669">
        <v>349103.72852547368</v>
      </c>
    </row>
    <row r="670" spans="14:15" x14ac:dyDescent="0.45">
      <c r="N670">
        <v>669</v>
      </c>
      <c r="O670">
        <v>364320.29550157138</v>
      </c>
    </row>
    <row r="671" spans="14:15" x14ac:dyDescent="0.45">
      <c r="N671">
        <v>670</v>
      </c>
      <c r="O671">
        <v>363150.69664859836</v>
      </c>
    </row>
    <row r="672" spans="14:15" x14ac:dyDescent="0.45">
      <c r="N672">
        <v>671</v>
      </c>
      <c r="O672">
        <v>347142.88775614189</v>
      </c>
    </row>
    <row r="673" spans="14:15" x14ac:dyDescent="0.45">
      <c r="N673">
        <v>672</v>
      </c>
      <c r="O673">
        <v>361535.86188446742</v>
      </c>
    </row>
    <row r="674" spans="14:15" x14ac:dyDescent="0.45">
      <c r="N674">
        <v>673</v>
      </c>
      <c r="O674">
        <v>364301.4943440379</v>
      </c>
    </row>
    <row r="675" spans="14:15" x14ac:dyDescent="0.45">
      <c r="N675">
        <v>674</v>
      </c>
      <c r="O675">
        <v>355594.63106154418</v>
      </c>
    </row>
    <row r="676" spans="14:15" x14ac:dyDescent="0.45">
      <c r="N676">
        <v>675</v>
      </c>
      <c r="O676">
        <v>358734.42871310696</v>
      </c>
    </row>
    <row r="677" spans="14:15" x14ac:dyDescent="0.45">
      <c r="N677">
        <v>676</v>
      </c>
      <c r="O677">
        <v>370407.72674023843</v>
      </c>
    </row>
    <row r="678" spans="14:15" x14ac:dyDescent="0.45">
      <c r="N678">
        <v>677</v>
      </c>
      <c r="O678">
        <v>352238.59893308464</v>
      </c>
    </row>
    <row r="679" spans="14:15" x14ac:dyDescent="0.45">
      <c r="N679">
        <v>678</v>
      </c>
      <c r="O679">
        <v>357907.46627372521</v>
      </c>
    </row>
    <row r="680" spans="14:15" x14ac:dyDescent="0.45">
      <c r="N680">
        <v>679</v>
      </c>
      <c r="O680">
        <v>348236.88973474602</v>
      </c>
    </row>
    <row r="681" spans="14:15" x14ac:dyDescent="0.45">
      <c r="N681">
        <v>680</v>
      </c>
      <c r="O681">
        <v>359240.13898677996</v>
      </c>
    </row>
    <row r="682" spans="14:15" x14ac:dyDescent="0.45">
      <c r="N682">
        <v>681</v>
      </c>
      <c r="O682">
        <v>358118.19044683309</v>
      </c>
    </row>
    <row r="683" spans="14:15" x14ac:dyDescent="0.45">
      <c r="N683">
        <v>682</v>
      </c>
      <c r="O683">
        <v>348638.64260072878</v>
      </c>
    </row>
    <row r="684" spans="14:15" x14ac:dyDescent="0.45">
      <c r="N684">
        <v>683</v>
      </c>
      <c r="O684">
        <v>359364.91040645324</v>
      </c>
    </row>
    <row r="685" spans="14:15" x14ac:dyDescent="0.45">
      <c r="N685">
        <v>684</v>
      </c>
      <c r="O685">
        <v>369769.59463587718</v>
      </c>
    </row>
    <row r="686" spans="14:15" x14ac:dyDescent="0.45">
      <c r="N686">
        <v>685</v>
      </c>
      <c r="O686">
        <v>352541.23176260106</v>
      </c>
    </row>
    <row r="687" spans="14:15" x14ac:dyDescent="0.45">
      <c r="N687">
        <v>686</v>
      </c>
      <c r="O687">
        <v>369657.15350176045</v>
      </c>
    </row>
    <row r="688" spans="14:15" x14ac:dyDescent="0.45">
      <c r="N688">
        <v>687</v>
      </c>
      <c r="O688">
        <v>361304.06512770877</v>
      </c>
    </row>
    <row r="689" spans="14:15" x14ac:dyDescent="0.45">
      <c r="N689">
        <v>688</v>
      </c>
      <c r="O689">
        <v>356153.05288107868</v>
      </c>
    </row>
    <row r="690" spans="14:15" x14ac:dyDescent="0.45">
      <c r="N690">
        <v>689</v>
      </c>
      <c r="O690">
        <v>365522.37126561196</v>
      </c>
    </row>
    <row r="691" spans="14:15" x14ac:dyDescent="0.45">
      <c r="N691">
        <v>690</v>
      </c>
      <c r="O691">
        <v>368892.49748877372</v>
      </c>
    </row>
    <row r="692" spans="14:15" x14ac:dyDescent="0.45">
      <c r="N692">
        <v>691</v>
      </c>
      <c r="O692">
        <v>361525.09171964007</v>
      </c>
    </row>
    <row r="693" spans="14:15" x14ac:dyDescent="0.45">
      <c r="N693">
        <v>692</v>
      </c>
      <c r="O693">
        <v>366628.81431676488</v>
      </c>
    </row>
    <row r="694" spans="14:15" x14ac:dyDescent="0.45">
      <c r="N694">
        <v>693</v>
      </c>
      <c r="O694">
        <v>359167.15233368595</v>
      </c>
    </row>
    <row r="695" spans="14:15" x14ac:dyDescent="0.45">
      <c r="N695">
        <v>694</v>
      </c>
      <c r="O695">
        <v>357186.27711578243</v>
      </c>
    </row>
    <row r="696" spans="14:15" x14ac:dyDescent="0.45">
      <c r="N696">
        <v>695</v>
      </c>
      <c r="O696">
        <v>349792.60172768013</v>
      </c>
    </row>
    <row r="697" spans="14:15" x14ac:dyDescent="0.45">
      <c r="N697">
        <v>696</v>
      </c>
      <c r="O697">
        <v>368486.68799211469</v>
      </c>
    </row>
    <row r="698" spans="14:15" x14ac:dyDescent="0.45">
      <c r="N698">
        <v>697</v>
      </c>
      <c r="O698">
        <v>375921.84883223509</v>
      </c>
    </row>
    <row r="699" spans="14:15" x14ac:dyDescent="0.45">
      <c r="N699">
        <v>698</v>
      </c>
      <c r="O699">
        <v>360071.15629814187</v>
      </c>
    </row>
    <row r="700" spans="14:15" x14ac:dyDescent="0.45">
      <c r="N700">
        <v>699</v>
      </c>
      <c r="O700">
        <v>376241.52751004609</v>
      </c>
    </row>
    <row r="701" spans="14:15" x14ac:dyDescent="0.45">
      <c r="N701">
        <v>700</v>
      </c>
      <c r="O701">
        <v>359466.96305116173</v>
      </c>
    </row>
    <row r="702" spans="14:15" x14ac:dyDescent="0.45">
      <c r="N702">
        <v>701</v>
      </c>
      <c r="O702">
        <v>362140.74806219112</v>
      </c>
    </row>
    <row r="703" spans="14:15" x14ac:dyDescent="0.45">
      <c r="N703">
        <v>702</v>
      </c>
      <c r="O703">
        <v>355260.59767425945</v>
      </c>
    </row>
    <row r="704" spans="14:15" x14ac:dyDescent="0.45">
      <c r="N704">
        <v>703</v>
      </c>
      <c r="O704">
        <v>359159.68684785807</v>
      </c>
    </row>
    <row r="705" spans="14:15" x14ac:dyDescent="0.45">
      <c r="N705">
        <v>704</v>
      </c>
      <c r="O705">
        <v>353860.02984242106</v>
      </c>
    </row>
    <row r="706" spans="14:15" x14ac:dyDescent="0.45">
      <c r="N706">
        <v>705</v>
      </c>
      <c r="O706">
        <v>351145.02343917603</v>
      </c>
    </row>
    <row r="707" spans="14:15" x14ac:dyDescent="0.45">
      <c r="N707">
        <v>706</v>
      </c>
      <c r="O707">
        <v>354691.20619636407</v>
      </c>
    </row>
    <row r="708" spans="14:15" x14ac:dyDescent="0.45">
      <c r="N708">
        <v>707</v>
      </c>
      <c r="O708">
        <v>361361.42185253068</v>
      </c>
    </row>
    <row r="709" spans="14:15" x14ac:dyDescent="0.45">
      <c r="N709">
        <v>708</v>
      </c>
      <c r="O709">
        <v>361401.55368034937</v>
      </c>
    </row>
    <row r="710" spans="14:15" x14ac:dyDescent="0.45">
      <c r="N710">
        <v>709</v>
      </c>
      <c r="O710">
        <v>356585.64269486244</v>
      </c>
    </row>
    <row r="711" spans="14:15" x14ac:dyDescent="0.45">
      <c r="N711">
        <v>710</v>
      </c>
      <c r="O711">
        <v>346155.56484143459</v>
      </c>
    </row>
    <row r="712" spans="14:15" x14ac:dyDescent="0.45">
      <c r="N712">
        <v>711</v>
      </c>
      <c r="O712">
        <v>356515.47535115201</v>
      </c>
    </row>
    <row r="713" spans="14:15" x14ac:dyDescent="0.45">
      <c r="N713">
        <v>712</v>
      </c>
      <c r="O713">
        <v>343767.94799845386</v>
      </c>
    </row>
    <row r="714" spans="14:15" x14ac:dyDescent="0.45">
      <c r="N714">
        <v>713</v>
      </c>
      <c r="O714">
        <v>378929.31837151031</v>
      </c>
    </row>
    <row r="715" spans="14:15" x14ac:dyDescent="0.45">
      <c r="N715">
        <v>714</v>
      </c>
      <c r="O715">
        <v>360639.20215793443</v>
      </c>
    </row>
    <row r="716" spans="14:15" x14ac:dyDescent="0.45">
      <c r="N716">
        <v>715</v>
      </c>
      <c r="O716">
        <v>365026.86374971172</v>
      </c>
    </row>
    <row r="717" spans="14:15" x14ac:dyDescent="0.45">
      <c r="N717">
        <v>716</v>
      </c>
      <c r="O717">
        <v>362207.42120302696</v>
      </c>
    </row>
    <row r="718" spans="14:15" x14ac:dyDescent="0.45">
      <c r="N718">
        <v>717</v>
      </c>
      <c r="O718">
        <v>362937.65551955363</v>
      </c>
    </row>
    <row r="719" spans="14:15" x14ac:dyDescent="0.45">
      <c r="N719">
        <v>718</v>
      </c>
      <c r="O719">
        <v>355265.00496769411</v>
      </c>
    </row>
    <row r="720" spans="14:15" x14ac:dyDescent="0.45">
      <c r="N720">
        <v>719</v>
      </c>
      <c r="O720">
        <v>367072.44093289488</v>
      </c>
    </row>
    <row r="721" spans="14:15" x14ac:dyDescent="0.45">
      <c r="N721">
        <v>720</v>
      </c>
      <c r="O721">
        <v>358032.4288963257</v>
      </c>
    </row>
    <row r="722" spans="14:15" x14ac:dyDescent="0.45">
      <c r="N722">
        <v>721</v>
      </c>
      <c r="O722">
        <v>352229.81994270958</v>
      </c>
    </row>
    <row r="723" spans="14:15" x14ac:dyDescent="0.45">
      <c r="N723">
        <v>722</v>
      </c>
      <c r="O723">
        <v>357837.79351999331</v>
      </c>
    </row>
    <row r="724" spans="14:15" x14ac:dyDescent="0.45">
      <c r="N724">
        <v>723</v>
      </c>
      <c r="O724">
        <v>345891.78960497939</v>
      </c>
    </row>
    <row r="725" spans="14:15" x14ac:dyDescent="0.45">
      <c r="N725">
        <v>724</v>
      </c>
      <c r="O725">
        <v>367902.07283898804</v>
      </c>
    </row>
    <row r="726" spans="14:15" x14ac:dyDescent="0.45">
      <c r="N726">
        <v>725</v>
      </c>
      <c r="O726">
        <v>368259.989989358</v>
      </c>
    </row>
    <row r="727" spans="14:15" x14ac:dyDescent="0.45">
      <c r="N727">
        <v>726</v>
      </c>
      <c r="O727">
        <v>357017.30481809942</v>
      </c>
    </row>
    <row r="728" spans="14:15" x14ac:dyDescent="0.45">
      <c r="N728">
        <v>727</v>
      </c>
      <c r="O728">
        <v>356798.37506934733</v>
      </c>
    </row>
    <row r="729" spans="14:15" x14ac:dyDescent="0.45">
      <c r="N729">
        <v>728</v>
      </c>
      <c r="O729">
        <v>362372.58124337753</v>
      </c>
    </row>
    <row r="730" spans="14:15" x14ac:dyDescent="0.45">
      <c r="N730">
        <v>729</v>
      </c>
      <c r="O730">
        <v>357967.65827319724</v>
      </c>
    </row>
    <row r="731" spans="14:15" x14ac:dyDescent="0.45">
      <c r="N731">
        <v>730</v>
      </c>
      <c r="O731">
        <v>372035.34569968574</v>
      </c>
    </row>
    <row r="732" spans="14:15" x14ac:dyDescent="0.45">
      <c r="N732">
        <v>731</v>
      </c>
      <c r="O732">
        <v>355804.61769458198</v>
      </c>
    </row>
    <row r="733" spans="14:15" x14ac:dyDescent="0.45">
      <c r="N733">
        <v>732</v>
      </c>
      <c r="O733">
        <v>367210.66581813456</v>
      </c>
    </row>
    <row r="734" spans="14:15" x14ac:dyDescent="0.45">
      <c r="N734">
        <v>733</v>
      </c>
      <c r="O734">
        <v>372061.1262178084</v>
      </c>
    </row>
    <row r="735" spans="14:15" x14ac:dyDescent="0.45">
      <c r="N735">
        <v>734</v>
      </c>
      <c r="O735">
        <v>363402.62581422413</v>
      </c>
    </row>
    <row r="736" spans="14:15" x14ac:dyDescent="0.45">
      <c r="N736">
        <v>735</v>
      </c>
      <c r="O736">
        <v>360514.64576034911</v>
      </c>
    </row>
    <row r="737" spans="14:15" x14ac:dyDescent="0.45">
      <c r="N737">
        <v>736</v>
      </c>
      <c r="O737">
        <v>367144.9197259004</v>
      </c>
    </row>
    <row r="738" spans="14:15" x14ac:dyDescent="0.45">
      <c r="N738">
        <v>737</v>
      </c>
      <c r="O738">
        <v>366781.2196014644</v>
      </c>
    </row>
    <row r="739" spans="14:15" x14ac:dyDescent="0.45">
      <c r="N739">
        <v>738</v>
      </c>
      <c r="O739">
        <v>345684.85137807444</v>
      </c>
    </row>
    <row r="740" spans="14:15" x14ac:dyDescent="0.45">
      <c r="N740">
        <v>739</v>
      </c>
      <c r="O740">
        <v>362309.16007616452</v>
      </c>
    </row>
    <row r="741" spans="14:15" x14ac:dyDescent="0.45">
      <c r="N741">
        <v>740</v>
      </c>
      <c r="O741">
        <v>344047.39278632676</v>
      </c>
    </row>
    <row r="742" spans="14:15" x14ac:dyDescent="0.45">
      <c r="N742">
        <v>741</v>
      </c>
      <c r="O742">
        <v>362106.80108088133</v>
      </c>
    </row>
    <row r="743" spans="14:15" x14ac:dyDescent="0.45">
      <c r="N743">
        <v>742</v>
      </c>
      <c r="O743">
        <v>372628.20426036895</v>
      </c>
    </row>
    <row r="744" spans="14:15" x14ac:dyDescent="0.45">
      <c r="N744">
        <v>743</v>
      </c>
      <c r="O744">
        <v>348589.92468720087</v>
      </c>
    </row>
    <row r="745" spans="14:15" x14ac:dyDescent="0.45">
      <c r="N745">
        <v>744</v>
      </c>
      <c r="O745">
        <v>368219.06571388704</v>
      </c>
    </row>
    <row r="746" spans="14:15" x14ac:dyDescent="0.45">
      <c r="N746">
        <v>745</v>
      </c>
      <c r="O746">
        <v>357948.44601411343</v>
      </c>
    </row>
    <row r="747" spans="14:15" x14ac:dyDescent="0.45">
      <c r="N747">
        <v>746</v>
      </c>
      <c r="O747">
        <v>360801.32317252189</v>
      </c>
    </row>
    <row r="748" spans="14:15" x14ac:dyDescent="0.45">
      <c r="N748">
        <v>747</v>
      </c>
      <c r="O748">
        <v>352836.74090285879</v>
      </c>
    </row>
    <row r="749" spans="14:15" x14ac:dyDescent="0.45">
      <c r="N749">
        <v>748</v>
      </c>
      <c r="O749">
        <v>362891.64705493924</v>
      </c>
    </row>
    <row r="750" spans="14:15" x14ac:dyDescent="0.45">
      <c r="N750">
        <v>749</v>
      </c>
      <c r="O750">
        <v>355206.47758192488</v>
      </c>
    </row>
    <row r="751" spans="14:15" x14ac:dyDescent="0.45">
      <c r="N751">
        <v>750</v>
      </c>
      <c r="O751">
        <v>363913.93567302945</v>
      </c>
    </row>
    <row r="752" spans="14:15" x14ac:dyDescent="0.45">
      <c r="N752">
        <v>751</v>
      </c>
      <c r="O752">
        <v>372607.2599512047</v>
      </c>
    </row>
    <row r="753" spans="14:15" x14ac:dyDescent="0.45">
      <c r="N753">
        <v>752</v>
      </c>
      <c r="O753">
        <v>349496.73078891309</v>
      </c>
    </row>
    <row r="754" spans="14:15" x14ac:dyDescent="0.45">
      <c r="N754">
        <v>753</v>
      </c>
      <c r="O754">
        <v>375192.04759716266</v>
      </c>
    </row>
    <row r="755" spans="14:15" x14ac:dyDescent="0.45">
      <c r="N755">
        <v>754</v>
      </c>
      <c r="O755">
        <v>365070.97074471379</v>
      </c>
    </row>
    <row r="756" spans="14:15" x14ac:dyDescent="0.45">
      <c r="N756">
        <v>755</v>
      </c>
      <c r="O756">
        <v>349040.33515612432</v>
      </c>
    </row>
    <row r="757" spans="14:15" x14ac:dyDescent="0.45">
      <c r="N757">
        <v>756</v>
      </c>
      <c r="O757">
        <v>345599.61383458052</v>
      </c>
    </row>
    <row r="758" spans="14:15" x14ac:dyDescent="0.45">
      <c r="N758">
        <v>757</v>
      </c>
      <c r="O758">
        <v>360384.26213461749</v>
      </c>
    </row>
    <row r="759" spans="14:15" x14ac:dyDescent="0.45">
      <c r="N759">
        <v>758</v>
      </c>
      <c r="O759">
        <v>364406.0465261736</v>
      </c>
    </row>
    <row r="760" spans="14:15" x14ac:dyDescent="0.45">
      <c r="N760">
        <v>759</v>
      </c>
      <c r="O760">
        <v>351061.03731230856</v>
      </c>
    </row>
    <row r="761" spans="14:15" x14ac:dyDescent="0.45">
      <c r="N761">
        <v>760</v>
      </c>
      <c r="O761">
        <v>360666.16464380629</v>
      </c>
    </row>
    <row r="762" spans="14:15" x14ac:dyDescent="0.45">
      <c r="N762">
        <v>761</v>
      </c>
      <c r="O762">
        <v>357532.01822255721</v>
      </c>
    </row>
    <row r="763" spans="14:15" x14ac:dyDescent="0.45">
      <c r="N763">
        <v>762</v>
      </c>
      <c r="O763">
        <v>349385.77897199942</v>
      </c>
    </row>
    <row r="764" spans="14:15" x14ac:dyDescent="0.45">
      <c r="N764">
        <v>763</v>
      </c>
      <c r="O764">
        <v>365446.33744913631</v>
      </c>
    </row>
    <row r="765" spans="14:15" x14ac:dyDescent="0.45">
      <c r="N765">
        <v>764</v>
      </c>
      <c r="O765">
        <v>356917.56793966959</v>
      </c>
    </row>
    <row r="766" spans="14:15" x14ac:dyDescent="0.45">
      <c r="N766">
        <v>765</v>
      </c>
      <c r="O766">
        <v>361818.48948077072</v>
      </c>
    </row>
    <row r="767" spans="14:15" x14ac:dyDescent="0.45">
      <c r="N767">
        <v>766</v>
      </c>
      <c r="O767">
        <v>357773.47903498384</v>
      </c>
    </row>
    <row r="768" spans="14:15" x14ac:dyDescent="0.45">
      <c r="N768">
        <v>767</v>
      </c>
      <c r="O768">
        <v>363915.10390833986</v>
      </c>
    </row>
    <row r="769" spans="14:15" x14ac:dyDescent="0.45">
      <c r="N769">
        <v>768</v>
      </c>
      <c r="O769">
        <v>351727.56525827397</v>
      </c>
    </row>
    <row r="770" spans="14:15" x14ac:dyDescent="0.45">
      <c r="N770">
        <v>769</v>
      </c>
      <c r="O770">
        <v>360792.17410407029</v>
      </c>
    </row>
    <row r="771" spans="14:15" x14ac:dyDescent="0.45">
      <c r="N771">
        <v>770</v>
      </c>
      <c r="O771">
        <v>349300.06300429977</v>
      </c>
    </row>
    <row r="772" spans="14:15" x14ac:dyDescent="0.45">
      <c r="N772">
        <v>771</v>
      </c>
      <c r="O772">
        <v>351992.30581761157</v>
      </c>
    </row>
    <row r="773" spans="14:15" x14ac:dyDescent="0.45">
      <c r="N773">
        <v>772</v>
      </c>
      <c r="O773">
        <v>361648.69898878271</v>
      </c>
    </row>
    <row r="774" spans="14:15" x14ac:dyDescent="0.45">
      <c r="N774">
        <v>773</v>
      </c>
      <c r="O774">
        <v>356396.66031733807</v>
      </c>
    </row>
    <row r="775" spans="14:15" x14ac:dyDescent="0.45">
      <c r="N775">
        <v>774</v>
      </c>
      <c r="O775">
        <v>356654.17035963217</v>
      </c>
    </row>
    <row r="776" spans="14:15" x14ac:dyDescent="0.45">
      <c r="N776">
        <v>775</v>
      </c>
      <c r="O776">
        <v>348568.49668153294</v>
      </c>
    </row>
    <row r="777" spans="14:15" x14ac:dyDescent="0.45">
      <c r="N777">
        <v>776</v>
      </c>
      <c r="O777">
        <v>366710.21902711911</v>
      </c>
    </row>
    <row r="778" spans="14:15" x14ac:dyDescent="0.45">
      <c r="N778">
        <v>777</v>
      </c>
      <c r="O778">
        <v>356348.87548857974</v>
      </c>
    </row>
    <row r="779" spans="14:15" x14ac:dyDescent="0.45">
      <c r="N779">
        <v>778</v>
      </c>
      <c r="O779">
        <v>363430.8614993167</v>
      </c>
    </row>
    <row r="780" spans="14:15" x14ac:dyDescent="0.45">
      <c r="N780">
        <v>779</v>
      </c>
      <c r="O780">
        <v>362864.94846522593</v>
      </c>
    </row>
    <row r="781" spans="14:15" x14ac:dyDescent="0.45">
      <c r="N781">
        <v>780</v>
      </c>
      <c r="O781">
        <v>358085.0961931842</v>
      </c>
    </row>
    <row r="782" spans="14:15" x14ac:dyDescent="0.45">
      <c r="N782">
        <v>781</v>
      </c>
      <c r="O782">
        <v>367258.28227723023</v>
      </c>
    </row>
    <row r="783" spans="14:15" x14ac:dyDescent="0.45">
      <c r="N783">
        <v>782</v>
      </c>
      <c r="O783">
        <v>353901.85807448544</v>
      </c>
    </row>
    <row r="784" spans="14:15" x14ac:dyDescent="0.45">
      <c r="N784">
        <v>783</v>
      </c>
      <c r="O784">
        <v>351652.60292758985</v>
      </c>
    </row>
    <row r="785" spans="14:15" x14ac:dyDescent="0.45">
      <c r="N785">
        <v>784</v>
      </c>
      <c r="O785">
        <v>361197.55264818372</v>
      </c>
    </row>
    <row r="786" spans="14:15" x14ac:dyDescent="0.45">
      <c r="N786">
        <v>785</v>
      </c>
      <c r="O786">
        <v>357047.60830335156</v>
      </c>
    </row>
    <row r="787" spans="14:15" x14ac:dyDescent="0.45">
      <c r="N787">
        <v>786</v>
      </c>
      <c r="O787">
        <v>376587.88367013884</v>
      </c>
    </row>
    <row r="788" spans="14:15" x14ac:dyDescent="0.45">
      <c r="N788">
        <v>787</v>
      </c>
      <c r="O788">
        <v>376000.17253614555</v>
      </c>
    </row>
    <row r="789" spans="14:15" x14ac:dyDescent="0.45">
      <c r="N789">
        <v>788</v>
      </c>
      <c r="O789">
        <v>357092.7281051476</v>
      </c>
    </row>
    <row r="790" spans="14:15" x14ac:dyDescent="0.45">
      <c r="N790">
        <v>789</v>
      </c>
      <c r="O790">
        <v>370002.93453927105</v>
      </c>
    </row>
    <row r="791" spans="14:15" x14ac:dyDescent="0.45">
      <c r="N791">
        <v>790</v>
      </c>
      <c r="O791">
        <v>355808.23497166275</v>
      </c>
    </row>
    <row r="792" spans="14:15" x14ac:dyDescent="0.45">
      <c r="N792">
        <v>791</v>
      </c>
      <c r="O792">
        <v>354323.72140641743</v>
      </c>
    </row>
    <row r="793" spans="14:15" x14ac:dyDescent="0.45">
      <c r="N793">
        <v>792</v>
      </c>
      <c r="O793">
        <v>348479.09666842042</v>
      </c>
    </row>
    <row r="794" spans="14:15" x14ac:dyDescent="0.45">
      <c r="N794">
        <v>793</v>
      </c>
      <c r="O794">
        <v>374902.18903243472</v>
      </c>
    </row>
    <row r="795" spans="14:15" x14ac:dyDescent="0.45">
      <c r="N795">
        <v>794</v>
      </c>
      <c r="O795">
        <v>353987.4862893126</v>
      </c>
    </row>
    <row r="796" spans="14:15" x14ac:dyDescent="0.45">
      <c r="N796">
        <v>795</v>
      </c>
      <c r="O796">
        <v>363798.16994750802</v>
      </c>
    </row>
    <row r="797" spans="14:15" x14ac:dyDescent="0.45">
      <c r="N797">
        <v>796</v>
      </c>
      <c r="O797">
        <v>355379.62745409308</v>
      </c>
    </row>
    <row r="798" spans="14:15" x14ac:dyDescent="0.45">
      <c r="N798">
        <v>797</v>
      </c>
      <c r="O798">
        <v>369344.96656201145</v>
      </c>
    </row>
    <row r="799" spans="14:15" x14ac:dyDescent="0.45">
      <c r="N799">
        <v>798</v>
      </c>
      <c r="O799">
        <v>369844.65628447203</v>
      </c>
    </row>
    <row r="800" spans="14:15" x14ac:dyDescent="0.45">
      <c r="N800">
        <v>799</v>
      </c>
      <c r="O800">
        <v>348199.59528500843</v>
      </c>
    </row>
    <row r="801" spans="14:15" x14ac:dyDescent="0.45">
      <c r="N801">
        <v>800</v>
      </c>
      <c r="O801">
        <v>364036.13095699984</v>
      </c>
    </row>
    <row r="802" spans="14:15" x14ac:dyDescent="0.45">
      <c r="N802">
        <v>801</v>
      </c>
      <c r="O802">
        <v>356861.0040436628</v>
      </c>
    </row>
    <row r="803" spans="14:15" x14ac:dyDescent="0.45">
      <c r="N803">
        <v>802</v>
      </c>
      <c r="O803">
        <v>351680.23953698744</v>
      </c>
    </row>
    <row r="804" spans="14:15" x14ac:dyDescent="0.45">
      <c r="N804">
        <v>803</v>
      </c>
      <c r="O804">
        <v>361138.9706597575</v>
      </c>
    </row>
    <row r="805" spans="14:15" x14ac:dyDescent="0.45">
      <c r="N805">
        <v>804</v>
      </c>
      <c r="O805">
        <v>370728.18159882975</v>
      </c>
    </row>
    <row r="806" spans="14:15" x14ac:dyDescent="0.45">
      <c r="N806">
        <v>805</v>
      </c>
      <c r="O806">
        <v>347042.54175486852</v>
      </c>
    </row>
    <row r="807" spans="14:15" x14ac:dyDescent="0.45">
      <c r="N807">
        <v>806</v>
      </c>
      <c r="O807">
        <v>355644.12409004313</v>
      </c>
    </row>
    <row r="808" spans="14:15" x14ac:dyDescent="0.45">
      <c r="N808">
        <v>807</v>
      </c>
      <c r="O808">
        <v>350885.85824699624</v>
      </c>
    </row>
    <row r="809" spans="14:15" x14ac:dyDescent="0.45">
      <c r="N809">
        <v>808</v>
      </c>
      <c r="O809">
        <v>358883.49403147073</v>
      </c>
    </row>
    <row r="810" spans="14:15" x14ac:dyDescent="0.45">
      <c r="N810">
        <v>809</v>
      </c>
      <c r="O810">
        <v>348968.3563976431</v>
      </c>
    </row>
    <row r="811" spans="14:15" x14ac:dyDescent="0.45">
      <c r="N811">
        <v>810</v>
      </c>
      <c r="O811">
        <v>353644.66382731573</v>
      </c>
    </row>
    <row r="812" spans="14:15" x14ac:dyDescent="0.45">
      <c r="N812">
        <v>811</v>
      </c>
      <c r="O812">
        <v>354060.365312977</v>
      </c>
    </row>
    <row r="813" spans="14:15" x14ac:dyDescent="0.45">
      <c r="N813">
        <v>812</v>
      </c>
      <c r="O813">
        <v>368865.75318450906</v>
      </c>
    </row>
    <row r="814" spans="14:15" x14ac:dyDescent="0.45">
      <c r="N814">
        <v>813</v>
      </c>
      <c r="O814">
        <v>365968.73193508305</v>
      </c>
    </row>
    <row r="815" spans="14:15" x14ac:dyDescent="0.45">
      <c r="N815">
        <v>814</v>
      </c>
      <c r="O815">
        <v>352669.50721468148</v>
      </c>
    </row>
    <row r="816" spans="14:15" x14ac:dyDescent="0.45">
      <c r="N816">
        <v>815</v>
      </c>
      <c r="O816">
        <v>355394.76369623357</v>
      </c>
    </row>
    <row r="817" spans="14:15" x14ac:dyDescent="0.45">
      <c r="N817">
        <v>816</v>
      </c>
      <c r="O817">
        <v>366843.87835746398</v>
      </c>
    </row>
    <row r="818" spans="14:15" x14ac:dyDescent="0.45">
      <c r="N818">
        <v>817</v>
      </c>
      <c r="O818">
        <v>354803.69386788458</v>
      </c>
    </row>
    <row r="819" spans="14:15" x14ac:dyDescent="0.45">
      <c r="N819">
        <v>818</v>
      </c>
      <c r="O819">
        <v>364954.84433469147</v>
      </c>
    </row>
    <row r="820" spans="14:15" x14ac:dyDescent="0.45">
      <c r="N820">
        <v>819</v>
      </c>
      <c r="O820">
        <v>352926.91782407311</v>
      </c>
    </row>
    <row r="821" spans="14:15" x14ac:dyDescent="0.45">
      <c r="N821">
        <v>820</v>
      </c>
      <c r="O821">
        <v>360192.23556936608</v>
      </c>
    </row>
    <row r="822" spans="14:15" x14ac:dyDescent="0.45">
      <c r="N822">
        <v>821</v>
      </c>
      <c r="O822">
        <v>358750.61935659964</v>
      </c>
    </row>
    <row r="823" spans="14:15" x14ac:dyDescent="0.45">
      <c r="N823">
        <v>822</v>
      </c>
      <c r="O823">
        <v>357950.76497401454</v>
      </c>
    </row>
    <row r="824" spans="14:15" x14ac:dyDescent="0.45">
      <c r="N824">
        <v>823</v>
      </c>
      <c r="O824">
        <v>376909.09969942528</v>
      </c>
    </row>
    <row r="825" spans="14:15" x14ac:dyDescent="0.45">
      <c r="N825">
        <v>824</v>
      </c>
      <c r="O825">
        <v>365383.25483926956</v>
      </c>
    </row>
    <row r="826" spans="14:15" x14ac:dyDescent="0.45">
      <c r="N826">
        <v>825</v>
      </c>
      <c r="O826">
        <v>367334.72746516345</v>
      </c>
    </row>
    <row r="827" spans="14:15" x14ac:dyDescent="0.45">
      <c r="N827">
        <v>826</v>
      </c>
      <c r="O827">
        <v>364848.24979851075</v>
      </c>
    </row>
    <row r="828" spans="14:15" x14ac:dyDescent="0.45">
      <c r="N828">
        <v>827</v>
      </c>
      <c r="O828">
        <v>374132.09875906544</v>
      </c>
    </row>
    <row r="829" spans="14:15" x14ac:dyDescent="0.45">
      <c r="N829">
        <v>828</v>
      </c>
      <c r="O829">
        <v>345560.10880060052</v>
      </c>
    </row>
    <row r="830" spans="14:15" x14ac:dyDescent="0.45">
      <c r="N830">
        <v>829</v>
      </c>
      <c r="O830">
        <v>370930.04208851897</v>
      </c>
    </row>
    <row r="831" spans="14:15" x14ac:dyDescent="0.45">
      <c r="N831">
        <v>830</v>
      </c>
      <c r="O831">
        <v>365088.83389541414</v>
      </c>
    </row>
    <row r="832" spans="14:15" x14ac:dyDescent="0.45">
      <c r="N832">
        <v>831</v>
      </c>
      <c r="O832">
        <v>369744.22815757972</v>
      </c>
    </row>
    <row r="833" spans="14:15" x14ac:dyDescent="0.45">
      <c r="N833">
        <v>832</v>
      </c>
      <c r="O833">
        <v>360978.06465555192</v>
      </c>
    </row>
    <row r="834" spans="14:15" x14ac:dyDescent="0.45">
      <c r="N834">
        <v>833</v>
      </c>
      <c r="O834">
        <v>349243.01421342802</v>
      </c>
    </row>
    <row r="835" spans="14:15" x14ac:dyDescent="0.45">
      <c r="N835">
        <v>834</v>
      </c>
      <c r="O835">
        <v>356407.05380893167</v>
      </c>
    </row>
    <row r="836" spans="14:15" x14ac:dyDescent="0.45">
      <c r="N836">
        <v>835</v>
      </c>
      <c r="O836">
        <v>347343.92061334074</v>
      </c>
    </row>
    <row r="837" spans="14:15" x14ac:dyDescent="0.45">
      <c r="N837">
        <v>836</v>
      </c>
      <c r="O837">
        <v>368339.04673527327</v>
      </c>
    </row>
    <row r="838" spans="14:15" x14ac:dyDescent="0.45">
      <c r="N838">
        <v>837</v>
      </c>
      <c r="O838">
        <v>382240.07743691304</v>
      </c>
    </row>
    <row r="839" spans="14:15" x14ac:dyDescent="0.45">
      <c r="N839">
        <v>838</v>
      </c>
      <c r="O839">
        <v>345701.89869802457</v>
      </c>
    </row>
    <row r="840" spans="14:15" x14ac:dyDescent="0.45">
      <c r="N840">
        <v>839</v>
      </c>
      <c r="O840">
        <v>361146.50150882505</v>
      </c>
    </row>
    <row r="841" spans="14:15" x14ac:dyDescent="0.45">
      <c r="N841">
        <v>840</v>
      </c>
      <c r="O841">
        <v>357954.39114131226</v>
      </c>
    </row>
    <row r="842" spans="14:15" x14ac:dyDescent="0.45">
      <c r="N842">
        <v>841</v>
      </c>
      <c r="O842">
        <v>343823.11610394216</v>
      </c>
    </row>
    <row r="843" spans="14:15" x14ac:dyDescent="0.45">
      <c r="N843">
        <v>842</v>
      </c>
      <c r="O843">
        <v>362260.69053386885</v>
      </c>
    </row>
    <row r="844" spans="14:15" x14ac:dyDescent="0.45">
      <c r="N844">
        <v>843</v>
      </c>
      <c r="O844">
        <v>365933.1747573092</v>
      </c>
    </row>
    <row r="845" spans="14:15" x14ac:dyDescent="0.45">
      <c r="N845">
        <v>844</v>
      </c>
      <c r="O845">
        <v>374727.9670842202</v>
      </c>
    </row>
    <row r="846" spans="14:15" x14ac:dyDescent="0.45">
      <c r="N846">
        <v>845</v>
      </c>
      <c r="O846">
        <v>366487.2227312696</v>
      </c>
    </row>
    <row r="847" spans="14:15" x14ac:dyDescent="0.45">
      <c r="N847">
        <v>846</v>
      </c>
      <c r="O847">
        <v>360575.47084112058</v>
      </c>
    </row>
    <row r="848" spans="14:15" x14ac:dyDescent="0.45">
      <c r="N848">
        <v>847</v>
      </c>
      <c r="O848">
        <v>356250.51356519177</v>
      </c>
    </row>
    <row r="849" spans="14:15" x14ac:dyDescent="0.45">
      <c r="N849">
        <v>848</v>
      </c>
      <c r="O849">
        <v>352882.01084384089</v>
      </c>
    </row>
    <row r="850" spans="14:15" x14ac:dyDescent="0.45">
      <c r="N850">
        <v>849</v>
      </c>
      <c r="O850">
        <v>360543.58290147077</v>
      </c>
    </row>
    <row r="851" spans="14:15" x14ac:dyDescent="0.45">
      <c r="N851">
        <v>850</v>
      </c>
      <c r="O851">
        <v>368398.30819207302</v>
      </c>
    </row>
    <row r="852" spans="14:15" x14ac:dyDescent="0.45">
      <c r="N852">
        <v>851</v>
      </c>
      <c r="O852">
        <v>380473.24696788046</v>
      </c>
    </row>
    <row r="853" spans="14:15" x14ac:dyDescent="0.45">
      <c r="N853">
        <v>852</v>
      </c>
      <c r="O853">
        <v>360789.87429269467</v>
      </c>
    </row>
    <row r="854" spans="14:15" x14ac:dyDescent="0.45">
      <c r="N854">
        <v>853</v>
      </c>
      <c r="O854">
        <v>367907.53235817875</v>
      </c>
    </row>
    <row r="855" spans="14:15" x14ac:dyDescent="0.45">
      <c r="N855">
        <v>854</v>
      </c>
      <c r="O855">
        <v>367901.22270067065</v>
      </c>
    </row>
    <row r="856" spans="14:15" x14ac:dyDescent="0.45">
      <c r="N856">
        <v>855</v>
      </c>
      <c r="O856">
        <v>357737.96300975274</v>
      </c>
    </row>
    <row r="857" spans="14:15" x14ac:dyDescent="0.45">
      <c r="N857">
        <v>856</v>
      </c>
      <c r="O857">
        <v>356781.69944744464</v>
      </c>
    </row>
    <row r="858" spans="14:15" x14ac:dyDescent="0.45">
      <c r="N858">
        <v>857</v>
      </c>
      <c r="O858">
        <v>357865.34229897027</v>
      </c>
    </row>
    <row r="859" spans="14:15" x14ac:dyDescent="0.45">
      <c r="N859">
        <v>858</v>
      </c>
      <c r="O859">
        <v>356996.21832445561</v>
      </c>
    </row>
    <row r="860" spans="14:15" x14ac:dyDescent="0.45">
      <c r="N860">
        <v>859</v>
      </c>
      <c r="O860">
        <v>360394.2447353751</v>
      </c>
    </row>
    <row r="861" spans="14:15" x14ac:dyDescent="0.45">
      <c r="N861">
        <v>860</v>
      </c>
      <c r="O861">
        <v>362132.64121771418</v>
      </c>
    </row>
    <row r="862" spans="14:15" x14ac:dyDescent="0.45">
      <c r="N862">
        <v>861</v>
      </c>
      <c r="O862">
        <v>357230.83349235472</v>
      </c>
    </row>
    <row r="863" spans="14:15" x14ac:dyDescent="0.45">
      <c r="N863">
        <v>862</v>
      </c>
      <c r="O863">
        <v>362681.88790417445</v>
      </c>
    </row>
    <row r="864" spans="14:15" x14ac:dyDescent="0.45">
      <c r="N864">
        <v>863</v>
      </c>
      <c r="O864">
        <v>351332.4967183586</v>
      </c>
    </row>
    <row r="865" spans="14:15" x14ac:dyDescent="0.45">
      <c r="N865">
        <v>864</v>
      </c>
      <c r="O865">
        <v>354144.22111004719</v>
      </c>
    </row>
    <row r="866" spans="14:15" x14ac:dyDescent="0.45">
      <c r="N866">
        <v>865</v>
      </c>
      <c r="O866">
        <v>365011.48698638531</v>
      </c>
    </row>
    <row r="867" spans="14:15" x14ac:dyDescent="0.45">
      <c r="N867">
        <v>866</v>
      </c>
      <c r="O867">
        <v>349607.11209918134</v>
      </c>
    </row>
    <row r="868" spans="14:15" x14ac:dyDescent="0.45">
      <c r="N868">
        <v>867</v>
      </c>
      <c r="O868">
        <v>367821.95198836841</v>
      </c>
    </row>
    <row r="869" spans="14:15" x14ac:dyDescent="0.45">
      <c r="N869">
        <v>868</v>
      </c>
      <c r="O869">
        <v>348102.78988421668</v>
      </c>
    </row>
    <row r="870" spans="14:15" x14ac:dyDescent="0.45">
      <c r="N870">
        <v>869</v>
      </c>
      <c r="O870">
        <v>362285.79696129082</v>
      </c>
    </row>
    <row r="871" spans="14:15" x14ac:dyDescent="0.45">
      <c r="N871">
        <v>870</v>
      </c>
      <c r="O871">
        <v>372066.53744186886</v>
      </c>
    </row>
    <row r="872" spans="14:15" x14ac:dyDescent="0.45">
      <c r="N872">
        <v>871</v>
      </c>
      <c r="O872">
        <v>361958.72416913346</v>
      </c>
    </row>
    <row r="873" spans="14:15" x14ac:dyDescent="0.45">
      <c r="N873">
        <v>872</v>
      </c>
      <c r="O873">
        <v>366039.60139389592</v>
      </c>
    </row>
    <row r="874" spans="14:15" x14ac:dyDescent="0.45">
      <c r="N874">
        <v>873</v>
      </c>
      <c r="O874">
        <v>362134.86285741907</v>
      </c>
    </row>
    <row r="875" spans="14:15" x14ac:dyDescent="0.45">
      <c r="N875">
        <v>874</v>
      </c>
      <c r="O875">
        <v>378299.95135183848</v>
      </c>
    </row>
    <row r="876" spans="14:15" x14ac:dyDescent="0.45">
      <c r="N876">
        <v>875</v>
      </c>
      <c r="O876">
        <v>365620.33731758298</v>
      </c>
    </row>
    <row r="877" spans="14:15" x14ac:dyDescent="0.45">
      <c r="N877">
        <v>876</v>
      </c>
      <c r="O877">
        <v>362321.91055554606</v>
      </c>
    </row>
    <row r="878" spans="14:15" x14ac:dyDescent="0.45">
      <c r="N878">
        <v>877</v>
      </c>
      <c r="O878">
        <v>362732.72984240478</v>
      </c>
    </row>
    <row r="879" spans="14:15" x14ac:dyDescent="0.45">
      <c r="N879">
        <v>878</v>
      </c>
      <c r="O879">
        <v>362717.42071981193</v>
      </c>
    </row>
    <row r="880" spans="14:15" x14ac:dyDescent="0.45">
      <c r="N880">
        <v>879</v>
      </c>
      <c r="O880">
        <v>367258.10182719427</v>
      </c>
    </row>
    <row r="881" spans="14:15" x14ac:dyDescent="0.45">
      <c r="N881">
        <v>880</v>
      </c>
      <c r="O881">
        <v>355806.20533933153</v>
      </c>
    </row>
    <row r="882" spans="14:15" x14ac:dyDescent="0.45">
      <c r="N882">
        <v>881</v>
      </c>
      <c r="O882">
        <v>361135.78864218923</v>
      </c>
    </row>
    <row r="883" spans="14:15" x14ac:dyDescent="0.45">
      <c r="N883">
        <v>882</v>
      </c>
      <c r="O883">
        <v>366117.67521059717</v>
      </c>
    </row>
    <row r="884" spans="14:15" x14ac:dyDescent="0.45">
      <c r="N884">
        <v>883</v>
      </c>
      <c r="O884">
        <v>358372.23399890825</v>
      </c>
    </row>
    <row r="885" spans="14:15" x14ac:dyDescent="0.45">
      <c r="N885">
        <v>884</v>
      </c>
      <c r="O885">
        <v>368965.19450603356</v>
      </c>
    </row>
    <row r="886" spans="14:15" x14ac:dyDescent="0.45">
      <c r="N886">
        <v>885</v>
      </c>
      <c r="O886">
        <v>345651.65341357223</v>
      </c>
    </row>
    <row r="887" spans="14:15" x14ac:dyDescent="0.45">
      <c r="N887">
        <v>886</v>
      </c>
      <c r="O887">
        <v>359386.71031493333</v>
      </c>
    </row>
    <row r="888" spans="14:15" x14ac:dyDescent="0.45">
      <c r="N888">
        <v>887</v>
      </c>
      <c r="O888">
        <v>359943.14100905112</v>
      </c>
    </row>
    <row r="889" spans="14:15" x14ac:dyDescent="0.45">
      <c r="N889">
        <v>888</v>
      </c>
      <c r="O889">
        <v>364156.97639307944</v>
      </c>
    </row>
    <row r="890" spans="14:15" x14ac:dyDescent="0.45">
      <c r="N890">
        <v>889</v>
      </c>
      <c r="O890">
        <v>358639.82798090274</v>
      </c>
    </row>
    <row r="891" spans="14:15" x14ac:dyDescent="0.45">
      <c r="N891">
        <v>890</v>
      </c>
      <c r="O891">
        <v>366835.42423575581</v>
      </c>
    </row>
    <row r="892" spans="14:15" x14ac:dyDescent="0.45">
      <c r="N892">
        <v>891</v>
      </c>
      <c r="O892">
        <v>355810.88162126561</v>
      </c>
    </row>
    <row r="893" spans="14:15" x14ac:dyDescent="0.45">
      <c r="N893">
        <v>892</v>
      </c>
      <c r="O893">
        <v>357977.19900041958</v>
      </c>
    </row>
    <row r="894" spans="14:15" x14ac:dyDescent="0.45">
      <c r="N894">
        <v>893</v>
      </c>
      <c r="O894">
        <v>360904.50822748197</v>
      </c>
    </row>
    <row r="895" spans="14:15" x14ac:dyDescent="0.45">
      <c r="N895">
        <v>894</v>
      </c>
      <c r="O895">
        <v>367118.86267732317</v>
      </c>
    </row>
    <row r="896" spans="14:15" x14ac:dyDescent="0.45">
      <c r="N896">
        <v>895</v>
      </c>
      <c r="O896">
        <v>361139.12276826054</v>
      </c>
    </row>
    <row r="897" spans="14:15" x14ac:dyDescent="0.45">
      <c r="N897">
        <v>896</v>
      </c>
      <c r="O897">
        <v>361903.34069107845</v>
      </c>
    </row>
    <row r="898" spans="14:15" x14ac:dyDescent="0.45">
      <c r="N898">
        <v>897</v>
      </c>
      <c r="O898">
        <v>353739.65266733209</v>
      </c>
    </row>
    <row r="899" spans="14:15" x14ac:dyDescent="0.45">
      <c r="N899">
        <v>898</v>
      </c>
      <c r="O899">
        <v>372838.10911220411</v>
      </c>
    </row>
    <row r="900" spans="14:15" x14ac:dyDescent="0.45">
      <c r="N900">
        <v>899</v>
      </c>
      <c r="O900">
        <v>373092.07610585156</v>
      </c>
    </row>
    <row r="901" spans="14:15" x14ac:dyDescent="0.45">
      <c r="N901">
        <v>900</v>
      </c>
      <c r="O901">
        <v>355076.52838704537</v>
      </c>
    </row>
    <row r="902" spans="14:15" x14ac:dyDescent="0.45">
      <c r="N902">
        <v>901</v>
      </c>
      <c r="O902">
        <v>362159.80374437541</v>
      </c>
    </row>
    <row r="903" spans="14:15" x14ac:dyDescent="0.45">
      <c r="N903">
        <v>902</v>
      </c>
      <c r="O903">
        <v>363656.83640848007</v>
      </c>
    </row>
    <row r="904" spans="14:15" x14ac:dyDescent="0.45">
      <c r="N904">
        <v>903</v>
      </c>
      <c r="O904">
        <v>354107.80102014646</v>
      </c>
    </row>
    <row r="905" spans="14:15" x14ac:dyDescent="0.45">
      <c r="N905">
        <v>904</v>
      </c>
      <c r="O905">
        <v>362460.33328425011</v>
      </c>
    </row>
    <row r="906" spans="14:15" x14ac:dyDescent="0.45">
      <c r="N906">
        <v>905</v>
      </c>
      <c r="O906">
        <v>354144.77590184775</v>
      </c>
    </row>
    <row r="907" spans="14:15" x14ac:dyDescent="0.45">
      <c r="N907">
        <v>906</v>
      </c>
      <c r="O907">
        <v>344244.45696323476</v>
      </c>
    </row>
    <row r="908" spans="14:15" x14ac:dyDescent="0.45">
      <c r="N908">
        <v>907</v>
      </c>
      <c r="O908">
        <v>360223.82239843166</v>
      </c>
    </row>
    <row r="909" spans="14:15" x14ac:dyDescent="0.45">
      <c r="N909">
        <v>908</v>
      </c>
      <c r="O909">
        <v>367042.88219289004</v>
      </c>
    </row>
    <row r="910" spans="14:15" x14ac:dyDescent="0.45">
      <c r="N910">
        <v>909</v>
      </c>
      <c r="O910">
        <v>373835.99902837025</v>
      </c>
    </row>
    <row r="911" spans="14:15" x14ac:dyDescent="0.45">
      <c r="N911">
        <v>910</v>
      </c>
      <c r="O911">
        <v>377748.63723233581</v>
      </c>
    </row>
    <row r="912" spans="14:15" x14ac:dyDescent="0.45">
      <c r="N912">
        <v>911</v>
      </c>
      <c r="O912">
        <v>373115.14820272155</v>
      </c>
    </row>
    <row r="913" spans="14:15" x14ac:dyDescent="0.45">
      <c r="N913">
        <v>912</v>
      </c>
      <c r="O913">
        <v>362102.39917851152</v>
      </c>
    </row>
    <row r="914" spans="14:15" x14ac:dyDescent="0.45">
      <c r="N914">
        <v>913</v>
      </c>
      <c r="O914">
        <v>369191.34687053779</v>
      </c>
    </row>
    <row r="915" spans="14:15" x14ac:dyDescent="0.45">
      <c r="N915">
        <v>914</v>
      </c>
      <c r="O915">
        <v>367822.34533480089</v>
      </c>
    </row>
    <row r="916" spans="14:15" x14ac:dyDescent="0.45">
      <c r="N916">
        <v>915</v>
      </c>
      <c r="O916">
        <v>358561.08021085884</v>
      </c>
    </row>
    <row r="917" spans="14:15" x14ac:dyDescent="0.45">
      <c r="N917">
        <v>916</v>
      </c>
      <c r="O917">
        <v>354153.37962962413</v>
      </c>
    </row>
    <row r="918" spans="14:15" x14ac:dyDescent="0.45">
      <c r="N918">
        <v>917</v>
      </c>
      <c r="O918">
        <v>368085.30472379271</v>
      </c>
    </row>
    <row r="919" spans="14:15" x14ac:dyDescent="0.45">
      <c r="N919">
        <v>918</v>
      </c>
      <c r="O919">
        <v>351775.45797227469</v>
      </c>
    </row>
    <row r="920" spans="14:15" x14ac:dyDescent="0.45">
      <c r="N920">
        <v>919</v>
      </c>
      <c r="O920">
        <v>351743.6031486537</v>
      </c>
    </row>
    <row r="921" spans="14:15" x14ac:dyDescent="0.45">
      <c r="N921">
        <v>920</v>
      </c>
      <c r="O921">
        <v>351051.55199854868</v>
      </c>
    </row>
    <row r="922" spans="14:15" x14ac:dyDescent="0.45">
      <c r="N922">
        <v>921</v>
      </c>
      <c r="O922">
        <v>359465.57402172883</v>
      </c>
    </row>
    <row r="923" spans="14:15" x14ac:dyDescent="0.45">
      <c r="N923">
        <v>922</v>
      </c>
      <c r="O923">
        <v>370556.81234019756</v>
      </c>
    </row>
    <row r="924" spans="14:15" x14ac:dyDescent="0.45">
      <c r="N924">
        <v>923</v>
      </c>
      <c r="O924">
        <v>360329.56626881426</v>
      </c>
    </row>
    <row r="925" spans="14:15" x14ac:dyDescent="0.45">
      <c r="N925">
        <v>924</v>
      </c>
      <c r="O925">
        <v>352421.58454455301</v>
      </c>
    </row>
    <row r="926" spans="14:15" x14ac:dyDescent="0.45">
      <c r="N926">
        <v>925</v>
      </c>
      <c r="O926">
        <v>363263.25152090733</v>
      </c>
    </row>
    <row r="927" spans="14:15" x14ac:dyDescent="0.45">
      <c r="N927">
        <v>926</v>
      </c>
      <c r="O927">
        <v>358101.91181911301</v>
      </c>
    </row>
    <row r="928" spans="14:15" x14ac:dyDescent="0.45">
      <c r="N928">
        <v>927</v>
      </c>
      <c r="O928">
        <v>367448.38040410605</v>
      </c>
    </row>
    <row r="929" spans="14:15" x14ac:dyDescent="0.45">
      <c r="N929">
        <v>928</v>
      </c>
      <c r="O929">
        <v>372336.54226413788</v>
      </c>
    </row>
    <row r="930" spans="14:15" x14ac:dyDescent="0.45">
      <c r="N930">
        <v>929</v>
      </c>
      <c r="O930">
        <v>357273.07809250435</v>
      </c>
    </row>
    <row r="931" spans="14:15" x14ac:dyDescent="0.45">
      <c r="N931">
        <v>930</v>
      </c>
      <c r="O931">
        <v>355511.35218713526</v>
      </c>
    </row>
    <row r="932" spans="14:15" x14ac:dyDescent="0.45">
      <c r="N932">
        <v>931</v>
      </c>
      <c r="O932">
        <v>357853.93872820446</v>
      </c>
    </row>
    <row r="933" spans="14:15" x14ac:dyDescent="0.45">
      <c r="N933">
        <v>932</v>
      </c>
      <c r="O933">
        <v>353512.81121508934</v>
      </c>
    </row>
    <row r="934" spans="14:15" x14ac:dyDescent="0.45">
      <c r="N934">
        <v>933</v>
      </c>
      <c r="O934">
        <v>357911.14629735885</v>
      </c>
    </row>
    <row r="935" spans="14:15" x14ac:dyDescent="0.45">
      <c r="N935">
        <v>934</v>
      </c>
      <c r="O935">
        <v>355599.08935849817</v>
      </c>
    </row>
    <row r="936" spans="14:15" x14ac:dyDescent="0.45">
      <c r="N936">
        <v>935</v>
      </c>
      <c r="O936">
        <v>359613.41788732185</v>
      </c>
    </row>
    <row r="937" spans="14:15" x14ac:dyDescent="0.45">
      <c r="N937">
        <v>936</v>
      </c>
      <c r="O937">
        <v>363257.47039255017</v>
      </c>
    </row>
    <row r="938" spans="14:15" x14ac:dyDescent="0.45">
      <c r="N938">
        <v>937</v>
      </c>
      <c r="O938">
        <v>356217.16482513183</v>
      </c>
    </row>
    <row r="939" spans="14:15" x14ac:dyDescent="0.45">
      <c r="N939">
        <v>938</v>
      </c>
      <c r="O939">
        <v>356768.95460767834</v>
      </c>
    </row>
    <row r="940" spans="14:15" x14ac:dyDescent="0.45">
      <c r="N940">
        <v>939</v>
      </c>
      <c r="O940">
        <v>362937.66152368521</v>
      </c>
    </row>
    <row r="941" spans="14:15" x14ac:dyDescent="0.45">
      <c r="N941">
        <v>940</v>
      </c>
      <c r="O941">
        <v>360455.86896756449</v>
      </c>
    </row>
    <row r="942" spans="14:15" x14ac:dyDescent="0.45">
      <c r="N942">
        <v>941</v>
      </c>
      <c r="O942">
        <v>359435.18163510854</v>
      </c>
    </row>
    <row r="943" spans="14:15" x14ac:dyDescent="0.45">
      <c r="N943">
        <v>942</v>
      </c>
      <c r="O943">
        <v>364888.01925670006</v>
      </c>
    </row>
    <row r="944" spans="14:15" x14ac:dyDescent="0.45">
      <c r="N944">
        <v>943</v>
      </c>
      <c r="O944">
        <v>350574.02266171842</v>
      </c>
    </row>
    <row r="945" spans="14:15" x14ac:dyDescent="0.45">
      <c r="N945">
        <v>944</v>
      </c>
      <c r="O945">
        <v>363501.71279918787</v>
      </c>
    </row>
    <row r="946" spans="14:15" x14ac:dyDescent="0.45">
      <c r="N946">
        <v>945</v>
      </c>
      <c r="O946">
        <v>362529.71911334427</v>
      </c>
    </row>
    <row r="947" spans="14:15" x14ac:dyDescent="0.45">
      <c r="N947">
        <v>946</v>
      </c>
      <c r="O947">
        <v>361223.38979214529</v>
      </c>
    </row>
    <row r="948" spans="14:15" x14ac:dyDescent="0.45">
      <c r="N948">
        <v>947</v>
      </c>
      <c r="O948">
        <v>359179.15925587062</v>
      </c>
    </row>
    <row r="949" spans="14:15" x14ac:dyDescent="0.45">
      <c r="N949">
        <v>948</v>
      </c>
      <c r="O949">
        <v>345002.09905895713</v>
      </c>
    </row>
    <row r="950" spans="14:15" x14ac:dyDescent="0.45">
      <c r="N950">
        <v>949</v>
      </c>
      <c r="O950">
        <v>357510.75509603583</v>
      </c>
    </row>
    <row r="951" spans="14:15" x14ac:dyDescent="0.45">
      <c r="N951">
        <v>950</v>
      </c>
      <c r="O951">
        <v>359122.60231157439</v>
      </c>
    </row>
    <row r="952" spans="14:15" x14ac:dyDescent="0.45">
      <c r="N952">
        <v>951</v>
      </c>
      <c r="O952">
        <v>357082.81779416557</v>
      </c>
    </row>
    <row r="953" spans="14:15" x14ac:dyDescent="0.45">
      <c r="N953">
        <v>952</v>
      </c>
      <c r="O953">
        <v>357209.7873396838</v>
      </c>
    </row>
    <row r="954" spans="14:15" x14ac:dyDescent="0.45">
      <c r="N954">
        <v>953</v>
      </c>
      <c r="O954">
        <v>362507.74150792981</v>
      </c>
    </row>
    <row r="955" spans="14:15" x14ac:dyDescent="0.45">
      <c r="N955">
        <v>954</v>
      </c>
      <c r="O955">
        <v>348258.79275617201</v>
      </c>
    </row>
    <row r="956" spans="14:15" x14ac:dyDescent="0.45">
      <c r="N956">
        <v>955</v>
      </c>
      <c r="O956">
        <v>355742.74618480704</v>
      </c>
    </row>
    <row r="957" spans="14:15" x14ac:dyDescent="0.45">
      <c r="N957">
        <v>956</v>
      </c>
      <c r="O957">
        <v>364781.82420001767</v>
      </c>
    </row>
    <row r="958" spans="14:15" x14ac:dyDescent="0.45">
      <c r="N958">
        <v>957</v>
      </c>
      <c r="O958">
        <v>369118.37866601924</v>
      </c>
    </row>
    <row r="959" spans="14:15" x14ac:dyDescent="0.45">
      <c r="N959">
        <v>958</v>
      </c>
      <c r="O959">
        <v>360139.81228850863</v>
      </c>
    </row>
    <row r="960" spans="14:15" x14ac:dyDescent="0.45">
      <c r="N960">
        <v>959</v>
      </c>
      <c r="O960">
        <v>363442.33002424834</v>
      </c>
    </row>
    <row r="961" spans="14:15" x14ac:dyDescent="0.45">
      <c r="N961">
        <v>960</v>
      </c>
      <c r="O961">
        <v>362805.68762829865</v>
      </c>
    </row>
    <row r="962" spans="14:15" x14ac:dyDescent="0.45">
      <c r="N962">
        <v>961</v>
      </c>
      <c r="O962">
        <v>362261.49406919628</v>
      </c>
    </row>
    <row r="963" spans="14:15" x14ac:dyDescent="0.45">
      <c r="N963">
        <v>962</v>
      </c>
      <c r="O963">
        <v>369411.97968163656</v>
      </c>
    </row>
    <row r="964" spans="14:15" x14ac:dyDescent="0.45">
      <c r="N964">
        <v>963</v>
      </c>
      <c r="O964">
        <v>366833.72226768371</v>
      </c>
    </row>
    <row r="965" spans="14:15" x14ac:dyDescent="0.45">
      <c r="N965">
        <v>964</v>
      </c>
      <c r="O965">
        <v>371467.2533324688</v>
      </c>
    </row>
    <row r="966" spans="14:15" x14ac:dyDescent="0.45">
      <c r="N966">
        <v>965</v>
      </c>
      <c r="O966">
        <v>355720.96837129194</v>
      </c>
    </row>
    <row r="967" spans="14:15" x14ac:dyDescent="0.45">
      <c r="N967">
        <v>966</v>
      </c>
      <c r="O967">
        <v>352236.05251885677</v>
      </c>
    </row>
    <row r="968" spans="14:15" x14ac:dyDescent="0.45">
      <c r="N968">
        <v>967</v>
      </c>
      <c r="O968">
        <v>379060.15176242328</v>
      </c>
    </row>
    <row r="969" spans="14:15" x14ac:dyDescent="0.45">
      <c r="N969">
        <v>968</v>
      </c>
      <c r="O969">
        <v>363744.07033702859</v>
      </c>
    </row>
    <row r="970" spans="14:15" x14ac:dyDescent="0.45">
      <c r="N970">
        <v>969</v>
      </c>
      <c r="O970">
        <v>356134.097621086</v>
      </c>
    </row>
    <row r="971" spans="14:15" x14ac:dyDescent="0.45">
      <c r="N971">
        <v>970</v>
      </c>
      <c r="O971">
        <v>366428.47715201578</v>
      </c>
    </row>
    <row r="972" spans="14:15" x14ac:dyDescent="0.45">
      <c r="N972">
        <v>971</v>
      </c>
      <c r="O972">
        <v>353225.23532392737</v>
      </c>
    </row>
    <row r="973" spans="14:15" x14ac:dyDescent="0.45">
      <c r="N973">
        <v>972</v>
      </c>
      <c r="O973">
        <v>359387.30969176436</v>
      </c>
    </row>
    <row r="974" spans="14:15" x14ac:dyDescent="0.45">
      <c r="N974">
        <v>973</v>
      </c>
      <c r="O974">
        <v>358382.16943090019</v>
      </c>
    </row>
    <row r="975" spans="14:15" x14ac:dyDescent="0.45">
      <c r="N975">
        <v>974</v>
      </c>
      <c r="O975">
        <v>358829.03188689525</v>
      </c>
    </row>
    <row r="976" spans="14:15" x14ac:dyDescent="0.45">
      <c r="N976">
        <v>975</v>
      </c>
      <c r="O976">
        <v>352969.74333897425</v>
      </c>
    </row>
    <row r="977" spans="14:15" x14ac:dyDescent="0.45">
      <c r="N977">
        <v>976</v>
      </c>
      <c r="O977">
        <v>348941.38376692432</v>
      </c>
    </row>
    <row r="978" spans="14:15" x14ac:dyDescent="0.45">
      <c r="N978">
        <v>977</v>
      </c>
      <c r="O978">
        <v>364335.17939382262</v>
      </c>
    </row>
    <row r="979" spans="14:15" x14ac:dyDescent="0.45">
      <c r="N979">
        <v>978</v>
      </c>
      <c r="O979">
        <v>368195.19004205387</v>
      </c>
    </row>
    <row r="980" spans="14:15" x14ac:dyDescent="0.45">
      <c r="N980">
        <v>979</v>
      </c>
      <c r="O980">
        <v>355962.9696130575</v>
      </c>
    </row>
    <row r="981" spans="14:15" x14ac:dyDescent="0.45">
      <c r="N981">
        <v>980</v>
      </c>
      <c r="O981">
        <v>365173.87181076512</v>
      </c>
    </row>
    <row r="982" spans="14:15" x14ac:dyDescent="0.45">
      <c r="N982">
        <v>981</v>
      </c>
      <c r="O982">
        <v>375118.83706097555</v>
      </c>
    </row>
    <row r="983" spans="14:15" x14ac:dyDescent="0.45">
      <c r="N983">
        <v>982</v>
      </c>
      <c r="O983">
        <v>365441.47621763975</v>
      </c>
    </row>
    <row r="984" spans="14:15" x14ac:dyDescent="0.45">
      <c r="N984">
        <v>983</v>
      </c>
      <c r="O984">
        <v>357249.3011880772</v>
      </c>
    </row>
    <row r="985" spans="14:15" x14ac:dyDescent="0.45">
      <c r="N985">
        <v>984</v>
      </c>
      <c r="O985">
        <v>359298.40046688123</v>
      </c>
    </row>
    <row r="986" spans="14:15" x14ac:dyDescent="0.45">
      <c r="N986">
        <v>985</v>
      </c>
      <c r="O986">
        <v>359935.77205490414</v>
      </c>
    </row>
    <row r="987" spans="14:15" x14ac:dyDescent="0.45">
      <c r="N987">
        <v>986</v>
      </c>
      <c r="O987">
        <v>353921.69643308368</v>
      </c>
    </row>
    <row r="988" spans="14:15" x14ac:dyDescent="0.45">
      <c r="N988">
        <v>987</v>
      </c>
      <c r="O988">
        <v>365287.72000848688</v>
      </c>
    </row>
    <row r="989" spans="14:15" x14ac:dyDescent="0.45">
      <c r="N989">
        <v>988</v>
      </c>
      <c r="O989">
        <v>349512.11130803882</v>
      </c>
    </row>
    <row r="990" spans="14:15" x14ac:dyDescent="0.45">
      <c r="N990">
        <v>989</v>
      </c>
      <c r="O990">
        <v>357608.07212489407</v>
      </c>
    </row>
    <row r="991" spans="14:15" x14ac:dyDescent="0.45">
      <c r="N991">
        <v>990</v>
      </c>
      <c r="O991">
        <v>356441.24249694112</v>
      </c>
    </row>
    <row r="992" spans="14:15" x14ac:dyDescent="0.45">
      <c r="N992">
        <v>991</v>
      </c>
      <c r="O992">
        <v>356108.1238389819</v>
      </c>
    </row>
    <row r="993" spans="14:15" x14ac:dyDescent="0.45">
      <c r="N993">
        <v>992</v>
      </c>
      <c r="O993">
        <v>356474.88465816644</v>
      </c>
    </row>
    <row r="994" spans="14:15" x14ac:dyDescent="0.45">
      <c r="N994">
        <v>993</v>
      </c>
      <c r="O994">
        <v>347387.3821773802</v>
      </c>
    </row>
    <row r="995" spans="14:15" x14ac:dyDescent="0.45">
      <c r="N995">
        <v>994</v>
      </c>
      <c r="O995">
        <v>366590.02769256337</v>
      </c>
    </row>
    <row r="996" spans="14:15" x14ac:dyDescent="0.45">
      <c r="N996">
        <v>995</v>
      </c>
      <c r="O996">
        <v>366970.06498666707</v>
      </c>
    </row>
    <row r="997" spans="14:15" x14ac:dyDescent="0.45">
      <c r="N997">
        <v>996</v>
      </c>
      <c r="O997">
        <v>359804.83120172762</v>
      </c>
    </row>
    <row r="998" spans="14:15" x14ac:dyDescent="0.45">
      <c r="N998">
        <v>997</v>
      </c>
      <c r="O998">
        <v>359310.1837621936</v>
      </c>
    </row>
    <row r="999" spans="14:15" x14ac:dyDescent="0.45">
      <c r="N999">
        <v>998</v>
      </c>
      <c r="O999">
        <v>351715.74010630546</v>
      </c>
    </row>
    <row r="1000" spans="14:15" x14ac:dyDescent="0.45">
      <c r="N1000">
        <v>999</v>
      </c>
      <c r="O1000">
        <v>380038.4462973827</v>
      </c>
    </row>
    <row r="1001" spans="14:15" x14ac:dyDescent="0.45">
      <c r="N1001">
        <v>1000</v>
      </c>
      <c r="O1001">
        <v>348180.7473267006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Sheet7</vt:lpstr>
      <vt:lpstr>Retirement Capital</vt:lpstr>
      <vt:lpstr>Sensitivity Report - Base case</vt:lpstr>
      <vt:lpstr>Base Case</vt:lpstr>
      <vt:lpstr>Sensitivity Report - Best Case</vt:lpstr>
      <vt:lpstr>Best Case</vt:lpstr>
      <vt:lpstr>Sensitivity Report - Worst Case</vt:lpstr>
      <vt:lpstr>Worst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Gibson G</dc:creator>
  <cp:lastModifiedBy>Sreenath Suman</cp:lastModifiedBy>
  <dcterms:created xsi:type="dcterms:W3CDTF">2025-05-23T00:03:11Z</dcterms:created>
  <dcterms:modified xsi:type="dcterms:W3CDTF">2025-06-03T06:06:13Z</dcterms:modified>
</cp:coreProperties>
</file>