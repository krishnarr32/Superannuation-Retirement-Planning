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392C6DF2-F729-45B5-BD10-A59D7B8ED71A}" xr6:coauthVersionLast="47" xr6:coauthVersionMax="47" xr10:uidLastSave="{00000000-0000-0000-0000-000000000000}"/>
  <bookViews>
    <workbookView xWindow="-110" yWindow="-110" windowWidth="19420" windowHeight="11500" tabRatio="964" activeTab="8" xr2:uid="{15774AE1-961C-44B8-A3E8-557069DE41EC}"/>
  </bookViews>
  <sheets>
    <sheet name="Dashboard" sheetId="12" r:id="rId1"/>
    <sheet name="Sheet7" sheetId="13" state="hidden" r:id="rId2"/>
    <sheet name="Retirement Capital" sheetId="5" r:id="rId3"/>
    <sheet name="Sensitivity Report - Base case" sheetId="11" r:id="rId4"/>
    <sheet name="Base Case" sheetId="1" r:id="rId5"/>
    <sheet name="Sensitivity Report - Best Case" sheetId="9" r:id="rId6"/>
    <sheet name="Best Case" sheetId="3" r:id="rId7"/>
    <sheet name="Sensitivity Report - Worst Case" sheetId="10" r:id="rId8"/>
    <sheet name="Worst Case" sheetId="4" r:id="rId9"/>
  </sheets>
  <definedNames>
    <definedName name="solver_adj" localSheetId="4" hidden="1">'Base Case'!$V$5:$V$7</definedName>
    <definedName name="solver_adj" localSheetId="6" hidden="1">'Best Case'!$V$5:$V$7</definedName>
    <definedName name="solver_adj" localSheetId="8" hidden="1">'Worst Case'!$V$5:$V$7</definedName>
    <definedName name="solver_cvg" localSheetId="4" hidden="1">0.0001</definedName>
    <definedName name="solver_cvg" localSheetId="6" hidden="1">0.0001</definedName>
    <definedName name="solver_cvg" localSheetId="8" hidden="1">0.0001</definedName>
    <definedName name="solver_drv" localSheetId="4" hidden="1">1</definedName>
    <definedName name="solver_drv" localSheetId="6" hidden="1">2</definedName>
    <definedName name="solver_drv" localSheetId="8" hidden="1">2</definedName>
    <definedName name="solver_eng" localSheetId="4" hidden="1">1</definedName>
    <definedName name="solver_eng" localSheetId="6" hidden="1">1</definedName>
    <definedName name="solver_eng" localSheetId="8" hidden="1">1</definedName>
    <definedName name="solver_est" localSheetId="4" hidden="1">1</definedName>
    <definedName name="solver_est" localSheetId="6" hidden="1">1</definedName>
    <definedName name="solver_est" localSheetId="8" hidden="1">1</definedName>
    <definedName name="solver_itr" localSheetId="4" hidden="1">2147483647</definedName>
    <definedName name="solver_itr" localSheetId="6" hidden="1">2147483647</definedName>
    <definedName name="solver_itr" localSheetId="8" hidden="1">2147483647</definedName>
    <definedName name="solver_lhs1" localSheetId="4" hidden="1">'Base Case'!$V$11</definedName>
    <definedName name="solver_lhs1" localSheetId="6" hidden="1">'Best Case'!$V$11</definedName>
    <definedName name="solver_lhs1" localSheetId="8" hidden="1">'Worst Case'!$V$11</definedName>
    <definedName name="solver_lhs2" localSheetId="4" hidden="1">'Base Case'!$V$5</definedName>
    <definedName name="solver_lhs2" localSheetId="6" hidden="1">'Best Case'!$V$5</definedName>
    <definedName name="solver_lhs2" localSheetId="8" hidden="1">'Worst Case'!$V$5</definedName>
    <definedName name="solver_lhs3" localSheetId="4" hidden="1">'Base Case'!$V$6</definedName>
    <definedName name="solver_lhs3" localSheetId="6" hidden="1">'Best Case'!$V$6</definedName>
    <definedName name="solver_lhs3" localSheetId="8" hidden="1">'Worst Case'!$V$6</definedName>
    <definedName name="solver_lhs4" localSheetId="4" hidden="1">'Base Case'!$V$7</definedName>
    <definedName name="solver_lhs4" localSheetId="6" hidden="1">'Best Case'!$V$7</definedName>
    <definedName name="solver_lhs4" localSheetId="8" hidden="1">'Worst Case'!$V$7</definedName>
    <definedName name="solver_lhs5" localSheetId="4" hidden="1">'Base Case'!$V$8</definedName>
    <definedName name="solver_lhs5" localSheetId="6" hidden="1">'Best Case'!$V$8</definedName>
    <definedName name="solver_lhs5" localSheetId="8" hidden="1">'Worst Case'!$V$8</definedName>
    <definedName name="solver_lhs6" localSheetId="6" hidden="1">'Best Case'!$V$8</definedName>
    <definedName name="solver_lhs6" localSheetId="8" hidden="1">'Worst Case'!$V$17:$X$17</definedName>
    <definedName name="solver_mip" localSheetId="4" hidden="1">2147483647</definedName>
    <definedName name="solver_mip" localSheetId="6" hidden="1">2147483647</definedName>
    <definedName name="solver_mip" localSheetId="8" hidden="1">2147483647</definedName>
    <definedName name="solver_mni" localSheetId="4" hidden="1">30</definedName>
    <definedName name="solver_mni" localSheetId="6" hidden="1">30</definedName>
    <definedName name="solver_mni" localSheetId="8" hidden="1">30</definedName>
    <definedName name="solver_mrt" localSheetId="4" hidden="1">0.075</definedName>
    <definedName name="solver_mrt" localSheetId="6" hidden="1">0.075</definedName>
    <definedName name="solver_mrt" localSheetId="8" hidden="1">0.075</definedName>
    <definedName name="solver_msl" localSheetId="4" hidden="1">2</definedName>
    <definedName name="solver_msl" localSheetId="6" hidden="1">2</definedName>
    <definedName name="solver_msl" localSheetId="8" hidden="1">2</definedName>
    <definedName name="solver_neg" localSheetId="4" hidden="1">1</definedName>
    <definedName name="solver_neg" localSheetId="6" hidden="1">1</definedName>
    <definedName name="solver_neg" localSheetId="8" hidden="1">1</definedName>
    <definedName name="solver_nod" localSheetId="4" hidden="1">2147483647</definedName>
    <definedName name="solver_nod" localSheetId="6" hidden="1">2147483647</definedName>
    <definedName name="solver_nod" localSheetId="8" hidden="1">2147483647</definedName>
    <definedName name="solver_num" localSheetId="4" hidden="1">5</definedName>
    <definedName name="solver_num" localSheetId="6" hidden="1">5</definedName>
    <definedName name="solver_num" localSheetId="8" hidden="1">5</definedName>
    <definedName name="solver_nwt" localSheetId="4" hidden="1">1</definedName>
    <definedName name="solver_nwt" localSheetId="6" hidden="1">1</definedName>
    <definedName name="solver_nwt" localSheetId="8" hidden="1">1</definedName>
    <definedName name="solver_opt" localSheetId="4" hidden="1">'Base Case'!$V$9</definedName>
    <definedName name="solver_opt" localSheetId="6" hidden="1">'Best Case'!$V$9</definedName>
    <definedName name="solver_opt" localSheetId="8" hidden="1">'Worst Case'!$V$9</definedName>
    <definedName name="solver_pre" localSheetId="4" hidden="1">0.000001</definedName>
    <definedName name="solver_pre" localSheetId="6" hidden="1">0.000001</definedName>
    <definedName name="solver_pre" localSheetId="8" hidden="1">0.000001</definedName>
    <definedName name="solver_rbv" localSheetId="4" hidden="1">1</definedName>
    <definedName name="solver_rbv" localSheetId="6" hidden="1">2</definedName>
    <definedName name="solver_rbv" localSheetId="8" hidden="1">2</definedName>
    <definedName name="solver_rel1" localSheetId="4" hidden="1">1</definedName>
    <definedName name="solver_rel1" localSheetId="6" hidden="1">1</definedName>
    <definedName name="solver_rel1" localSheetId="8" hidden="1">1</definedName>
    <definedName name="solver_rel2" localSheetId="4" hidden="1">2</definedName>
    <definedName name="solver_rel2" localSheetId="6" hidden="1">3</definedName>
    <definedName name="solver_rel2" localSheetId="8" hidden="1">3</definedName>
    <definedName name="solver_rel3" localSheetId="4" hidden="1">2</definedName>
    <definedName name="solver_rel3" localSheetId="6" hidden="1">3</definedName>
    <definedName name="solver_rel3" localSheetId="8" hidden="1">3</definedName>
    <definedName name="solver_rel4" localSheetId="4" hidden="1">2</definedName>
    <definedName name="solver_rel4" localSheetId="6" hidden="1">3</definedName>
    <definedName name="solver_rel4" localSheetId="8" hidden="1">3</definedName>
    <definedName name="solver_rel5" localSheetId="4" hidden="1">2</definedName>
    <definedName name="solver_rel5" localSheetId="6" hidden="1">2</definedName>
    <definedName name="solver_rel5" localSheetId="8" hidden="1">2</definedName>
    <definedName name="solver_rel6" localSheetId="6" hidden="1">2</definedName>
    <definedName name="solver_rel6" localSheetId="8" hidden="1">3</definedName>
    <definedName name="solver_rhs1" localSheetId="4" hidden="1">12%</definedName>
    <definedName name="solver_rhs1" localSheetId="6" hidden="1">12%</definedName>
    <definedName name="solver_rhs1" localSheetId="8" hidden="1">12%</definedName>
    <definedName name="solver_rhs2" localSheetId="4" hidden="1">0.4</definedName>
    <definedName name="solver_rhs2" localSheetId="6" hidden="1">0.1</definedName>
    <definedName name="solver_rhs2" localSheetId="8" hidden="1">0.1</definedName>
    <definedName name="solver_rhs3" localSheetId="4" hidden="1">0.3</definedName>
    <definedName name="solver_rhs3" localSheetId="6" hidden="1">0.1</definedName>
    <definedName name="solver_rhs3" localSheetId="8" hidden="1">0.1</definedName>
    <definedName name="solver_rhs4" localSheetId="4" hidden="1">0.3</definedName>
    <definedName name="solver_rhs4" localSheetId="6" hidden="1">0.1</definedName>
    <definedName name="solver_rhs4" localSheetId="8" hidden="1">0.1</definedName>
    <definedName name="solver_rhs5" localSheetId="4" hidden="1">1</definedName>
    <definedName name="solver_rhs5" localSheetId="6" hidden="1">1</definedName>
    <definedName name="solver_rhs5" localSheetId="8" hidden="1">1</definedName>
    <definedName name="solver_rhs6" localSheetId="6" hidden="1">100%</definedName>
    <definedName name="solver_rhs6" localSheetId="8" hidden="1">0</definedName>
    <definedName name="solver_rlx" localSheetId="4" hidden="1">2</definedName>
    <definedName name="solver_rlx" localSheetId="6" hidden="1">2</definedName>
    <definedName name="solver_rlx" localSheetId="8" hidden="1">2</definedName>
    <definedName name="solver_rsd" localSheetId="4" hidden="1">0</definedName>
    <definedName name="solver_rsd" localSheetId="6" hidden="1">0</definedName>
    <definedName name="solver_rsd" localSheetId="8" hidden="1">0</definedName>
    <definedName name="solver_scl" localSheetId="4" hidden="1">1</definedName>
    <definedName name="solver_scl" localSheetId="6" hidden="1">2</definedName>
    <definedName name="solver_scl" localSheetId="8" hidden="1">2</definedName>
    <definedName name="solver_sho" localSheetId="4" hidden="1">2</definedName>
    <definedName name="solver_sho" localSheetId="6" hidden="1">2</definedName>
    <definedName name="solver_sho" localSheetId="8" hidden="1">2</definedName>
    <definedName name="solver_ssz" localSheetId="4" hidden="1">100</definedName>
    <definedName name="solver_ssz" localSheetId="6" hidden="1">100</definedName>
    <definedName name="solver_ssz" localSheetId="8" hidden="1">100</definedName>
    <definedName name="solver_tim" localSheetId="4" hidden="1">2147483647</definedName>
    <definedName name="solver_tim" localSheetId="6" hidden="1">2147483647</definedName>
    <definedName name="solver_tim" localSheetId="8" hidden="1">2147483647</definedName>
    <definedName name="solver_tol" localSheetId="4" hidden="1">0.01</definedName>
    <definedName name="solver_tol" localSheetId="6" hidden="1">0.01</definedName>
    <definedName name="solver_tol" localSheetId="8" hidden="1">0.01</definedName>
    <definedName name="solver_typ" localSheetId="4" hidden="1">1</definedName>
    <definedName name="solver_typ" localSheetId="6" hidden="1">1</definedName>
    <definedName name="solver_typ" localSheetId="8" hidden="1">2</definedName>
    <definedName name="solver_val" localSheetId="4" hidden="1">0</definedName>
    <definedName name="solver_val" localSheetId="6" hidden="1">0</definedName>
    <definedName name="solver_val" localSheetId="8" hidden="1">0</definedName>
    <definedName name="solver_ver" localSheetId="4" hidden="1">3</definedName>
    <definedName name="solver_ver" localSheetId="6" hidden="1">3</definedName>
    <definedName name="solver_ver" localSheetId="8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2" l="1"/>
  <c r="E19" i="12"/>
  <c r="D20" i="12"/>
  <c r="D19" i="12"/>
  <c r="E18" i="12"/>
  <c r="E17" i="12"/>
  <c r="E16" i="12"/>
  <c r="D18" i="12"/>
  <c r="D17" i="12"/>
  <c r="D16" i="12"/>
  <c r="C20" i="12"/>
  <c r="C19" i="12"/>
  <c r="C18" i="12"/>
  <c r="C17" i="12"/>
  <c r="C16" i="12"/>
  <c r="C9" i="12"/>
  <c r="C7" i="12"/>
  <c r="V9" i="1"/>
  <c r="V11" i="1"/>
  <c r="V8" i="1"/>
  <c r="V11" i="4"/>
  <c r="V9" i="4"/>
  <c r="V8" i="4"/>
  <c r="V9" i="3"/>
  <c r="V11" i="3"/>
  <c r="V8" i="3"/>
  <c r="D7" i="1"/>
  <c r="M3" i="1"/>
  <c r="L3" i="4"/>
  <c r="L3" i="3"/>
  <c r="D8" i="3"/>
  <c r="E11" i="5"/>
  <c r="E10" i="5"/>
  <c r="E9" i="5"/>
  <c r="D12" i="5"/>
  <c r="E8" i="5"/>
  <c r="S9" i="5"/>
  <c r="M9" i="5"/>
  <c r="M8" i="5"/>
  <c r="F54" i="3"/>
  <c r="F53" i="3"/>
  <c r="F52" i="3"/>
  <c r="E52" i="3"/>
  <c r="E53" i="3" s="1"/>
  <c r="E54" i="3" s="1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G18" i="4" s="1"/>
  <c r="E18" i="4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I17" i="4"/>
  <c r="H17" i="4"/>
  <c r="F17" i="4"/>
  <c r="J12" i="4"/>
  <c r="I17" i="3"/>
  <c r="H17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G18" i="3" s="1"/>
  <c r="H18" i="3" s="1"/>
  <c r="E18" i="3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F17" i="3"/>
  <c r="L18" i="1"/>
  <c r="J11" i="1"/>
  <c r="M17" i="1"/>
  <c r="J17" i="1"/>
  <c r="I17" i="1"/>
  <c r="H17" i="1"/>
  <c r="F18" i="1"/>
  <c r="G18" i="1" s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17" i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12" i="5" l="1"/>
  <c r="S13" i="5"/>
  <c r="U14" i="5" s="1"/>
  <c r="E16" i="5" s="1"/>
  <c r="C8" i="12" s="1"/>
  <c r="J17" i="4"/>
  <c r="H18" i="4"/>
  <c r="G19" i="4"/>
  <c r="I18" i="4"/>
  <c r="L17" i="4"/>
  <c r="K18" i="4"/>
  <c r="I18" i="3"/>
  <c r="G19" i="3"/>
  <c r="J17" i="3"/>
  <c r="G19" i="1"/>
  <c r="H18" i="1"/>
  <c r="M10" i="5" l="1"/>
  <c r="I19" i="4"/>
  <c r="H19" i="4"/>
  <c r="G20" i="4"/>
  <c r="J18" i="4"/>
  <c r="H19" i="3"/>
  <c r="I19" i="3"/>
  <c r="L17" i="3"/>
  <c r="K18" i="3"/>
  <c r="G20" i="3"/>
  <c r="J18" i="3"/>
  <c r="I18" i="1"/>
  <c r="J18" i="1" s="1"/>
  <c r="L19" i="1" s="1"/>
  <c r="G20" i="1"/>
  <c r="H19" i="1"/>
  <c r="K19" i="4" l="1"/>
  <c r="L18" i="4"/>
  <c r="G21" i="4"/>
  <c r="I20" i="4"/>
  <c r="H20" i="4"/>
  <c r="J19" i="4"/>
  <c r="H20" i="3"/>
  <c r="I20" i="3"/>
  <c r="K19" i="3"/>
  <c r="L18" i="3"/>
  <c r="J19" i="3"/>
  <c r="G21" i="3"/>
  <c r="M18" i="1"/>
  <c r="I19" i="1"/>
  <c r="J19" i="1" s="1"/>
  <c r="L20" i="1" s="1"/>
  <c r="G21" i="1"/>
  <c r="H20" i="1"/>
  <c r="J20" i="4" l="1"/>
  <c r="L19" i="4"/>
  <c r="K20" i="4"/>
  <c r="H21" i="4"/>
  <c r="G22" i="4"/>
  <c r="I21" i="4"/>
  <c r="H21" i="3"/>
  <c r="I21" i="3"/>
  <c r="G22" i="3"/>
  <c r="J20" i="3"/>
  <c r="L19" i="3"/>
  <c r="K20" i="3"/>
  <c r="M19" i="1"/>
  <c r="I20" i="1"/>
  <c r="J20" i="1" s="1"/>
  <c r="L21" i="1" s="1"/>
  <c r="H21" i="1"/>
  <c r="G22" i="1"/>
  <c r="J21" i="4" l="1"/>
  <c r="L20" i="4"/>
  <c r="I22" i="4"/>
  <c r="H22" i="4"/>
  <c r="G23" i="4"/>
  <c r="K21" i="4"/>
  <c r="H22" i="3"/>
  <c r="I22" i="3"/>
  <c r="L20" i="3"/>
  <c r="K21" i="3"/>
  <c r="G23" i="3"/>
  <c r="H23" i="3" s="1"/>
  <c r="J21" i="3"/>
  <c r="M20" i="1"/>
  <c r="I21" i="1"/>
  <c r="J21" i="1" s="1"/>
  <c r="L22" i="1" s="1"/>
  <c r="G23" i="1"/>
  <c r="H22" i="1"/>
  <c r="K22" i="4" l="1"/>
  <c r="J22" i="4"/>
  <c r="L21" i="4"/>
  <c r="G24" i="4"/>
  <c r="I23" i="4"/>
  <c r="H23" i="4"/>
  <c r="I23" i="3"/>
  <c r="J22" i="3"/>
  <c r="K22" i="3"/>
  <c r="L21" i="3"/>
  <c r="G24" i="3"/>
  <c r="H24" i="3" s="1"/>
  <c r="M21" i="1"/>
  <c r="I22" i="1"/>
  <c r="J22" i="1" s="1"/>
  <c r="L23" i="1" s="1"/>
  <c r="G24" i="1"/>
  <c r="H23" i="1"/>
  <c r="K23" i="4" l="1"/>
  <c r="J23" i="4"/>
  <c r="L22" i="4"/>
  <c r="H24" i="4"/>
  <c r="G25" i="4"/>
  <c r="I24" i="4"/>
  <c r="I24" i="3"/>
  <c r="G25" i="3"/>
  <c r="H25" i="3" s="1"/>
  <c r="J23" i="3"/>
  <c r="L22" i="3"/>
  <c r="K23" i="3"/>
  <c r="M22" i="1"/>
  <c r="I23" i="1"/>
  <c r="J23" i="1" s="1"/>
  <c r="L24" i="1" s="1"/>
  <c r="G25" i="1"/>
  <c r="H24" i="1"/>
  <c r="K24" i="4" l="1"/>
  <c r="L23" i="4"/>
  <c r="I25" i="4"/>
  <c r="H25" i="4"/>
  <c r="G26" i="4"/>
  <c r="J24" i="4"/>
  <c r="I25" i="3"/>
  <c r="L23" i="3"/>
  <c r="K24" i="3"/>
  <c r="G26" i="3"/>
  <c r="H26" i="3" s="1"/>
  <c r="J24" i="3"/>
  <c r="M23" i="1"/>
  <c r="I24" i="1"/>
  <c r="J24" i="1" s="1"/>
  <c r="L25" i="1" s="1"/>
  <c r="G26" i="1"/>
  <c r="H25" i="1"/>
  <c r="J25" i="4" l="1"/>
  <c r="G27" i="4"/>
  <c r="I26" i="4"/>
  <c r="H26" i="4"/>
  <c r="K25" i="4"/>
  <c r="L24" i="4"/>
  <c r="I26" i="3"/>
  <c r="K25" i="3"/>
  <c r="L24" i="3"/>
  <c r="G27" i="3"/>
  <c r="H27" i="3" s="1"/>
  <c r="J25" i="3"/>
  <c r="M24" i="1"/>
  <c r="I25" i="1"/>
  <c r="J25" i="1" s="1"/>
  <c r="L26" i="1" s="1"/>
  <c r="G27" i="1"/>
  <c r="H26" i="1"/>
  <c r="K26" i="4" l="1"/>
  <c r="J26" i="4"/>
  <c r="L25" i="4"/>
  <c r="H27" i="4"/>
  <c r="G28" i="4"/>
  <c r="I27" i="4"/>
  <c r="I27" i="3"/>
  <c r="L25" i="3"/>
  <c r="K26" i="3"/>
  <c r="J26" i="3"/>
  <c r="G28" i="3"/>
  <c r="H28" i="3" s="1"/>
  <c r="M25" i="1"/>
  <c r="I26" i="1"/>
  <c r="J26" i="1" s="1"/>
  <c r="L27" i="1" s="1"/>
  <c r="G28" i="1"/>
  <c r="H27" i="1"/>
  <c r="L26" i="4" l="1"/>
  <c r="K27" i="4"/>
  <c r="I28" i="4"/>
  <c r="H28" i="4"/>
  <c r="G29" i="4"/>
  <c r="J27" i="4"/>
  <c r="I28" i="3"/>
  <c r="L26" i="3"/>
  <c r="K27" i="3"/>
  <c r="J27" i="3"/>
  <c r="G29" i="3"/>
  <c r="H29" i="3" s="1"/>
  <c r="M26" i="1"/>
  <c r="I27" i="1"/>
  <c r="J27" i="1" s="1"/>
  <c r="L28" i="1" s="1"/>
  <c r="G29" i="1"/>
  <c r="H28" i="1"/>
  <c r="J28" i="4" l="1"/>
  <c r="G30" i="4"/>
  <c r="I29" i="4"/>
  <c r="H29" i="4"/>
  <c r="K28" i="4"/>
  <c r="L27" i="4"/>
  <c r="I29" i="3"/>
  <c r="K28" i="3"/>
  <c r="L27" i="3"/>
  <c r="G30" i="3"/>
  <c r="H30" i="3" s="1"/>
  <c r="J28" i="3"/>
  <c r="M27" i="1"/>
  <c r="I28" i="1"/>
  <c r="J28" i="1" s="1"/>
  <c r="L29" i="1" s="1"/>
  <c r="G30" i="1"/>
  <c r="H29" i="1"/>
  <c r="J29" i="4" l="1"/>
  <c r="L28" i="4"/>
  <c r="K29" i="4"/>
  <c r="H30" i="4"/>
  <c r="G31" i="4"/>
  <c r="I30" i="4"/>
  <c r="I30" i="3"/>
  <c r="L28" i="3"/>
  <c r="K29" i="3"/>
  <c r="J29" i="3"/>
  <c r="G31" i="3"/>
  <c r="H31" i="3" s="1"/>
  <c r="M28" i="1"/>
  <c r="I29" i="1"/>
  <c r="J29" i="1" s="1"/>
  <c r="L30" i="1" s="1"/>
  <c r="G31" i="1"/>
  <c r="H30" i="1"/>
  <c r="L29" i="4" l="1"/>
  <c r="K30" i="4"/>
  <c r="I31" i="4"/>
  <c r="H31" i="4"/>
  <c r="G32" i="4"/>
  <c r="J30" i="4"/>
  <c r="I31" i="3"/>
  <c r="L29" i="3"/>
  <c r="K30" i="3"/>
  <c r="G32" i="3"/>
  <c r="H32" i="3" s="1"/>
  <c r="J30" i="3"/>
  <c r="M29" i="1"/>
  <c r="I30" i="1"/>
  <c r="J30" i="1" s="1"/>
  <c r="L31" i="1" s="1"/>
  <c r="G32" i="1"/>
  <c r="H31" i="1"/>
  <c r="J31" i="4" l="1"/>
  <c r="G33" i="4"/>
  <c r="I32" i="4"/>
  <c r="H32" i="4"/>
  <c r="K31" i="4"/>
  <c r="L30" i="4"/>
  <c r="I32" i="3"/>
  <c r="J31" i="3"/>
  <c r="K31" i="3"/>
  <c r="L30" i="3"/>
  <c r="G33" i="3"/>
  <c r="H33" i="3" s="1"/>
  <c r="M30" i="1"/>
  <c r="I31" i="1"/>
  <c r="J31" i="1" s="1"/>
  <c r="L32" i="1" s="1"/>
  <c r="G33" i="1"/>
  <c r="H32" i="1"/>
  <c r="K32" i="4" l="1"/>
  <c r="L31" i="4"/>
  <c r="J32" i="4"/>
  <c r="H33" i="4"/>
  <c r="G34" i="4"/>
  <c r="I33" i="4"/>
  <c r="I33" i="3"/>
  <c r="L31" i="3"/>
  <c r="K32" i="3"/>
  <c r="G34" i="3"/>
  <c r="H34" i="3" s="1"/>
  <c r="J32" i="3"/>
  <c r="M31" i="1"/>
  <c r="I32" i="1"/>
  <c r="J32" i="1" s="1"/>
  <c r="L33" i="1" s="1"/>
  <c r="G34" i="1"/>
  <c r="H33" i="1"/>
  <c r="K33" i="4" l="1"/>
  <c r="L32" i="4"/>
  <c r="J33" i="4"/>
  <c r="I34" i="4"/>
  <c r="H34" i="4"/>
  <c r="G35" i="4"/>
  <c r="I34" i="3"/>
  <c r="L32" i="3"/>
  <c r="K33" i="3"/>
  <c r="G35" i="3"/>
  <c r="H35" i="3" s="1"/>
  <c r="J33" i="3"/>
  <c r="M32" i="1"/>
  <c r="I33" i="1"/>
  <c r="J33" i="1" s="1"/>
  <c r="L34" i="1" s="1"/>
  <c r="G35" i="1"/>
  <c r="H34" i="1"/>
  <c r="K34" i="4" l="1"/>
  <c r="L33" i="4"/>
  <c r="J34" i="4"/>
  <c r="G36" i="4"/>
  <c r="I35" i="4"/>
  <c r="H35" i="4"/>
  <c r="I35" i="3"/>
  <c r="K34" i="3"/>
  <c r="L33" i="3"/>
  <c r="J34" i="3"/>
  <c r="G36" i="3"/>
  <c r="H36" i="3" s="1"/>
  <c r="M33" i="1"/>
  <c r="I34" i="1"/>
  <c r="J34" i="1" s="1"/>
  <c r="L35" i="1" s="1"/>
  <c r="G36" i="1"/>
  <c r="H35" i="1"/>
  <c r="L34" i="4" l="1"/>
  <c r="K35" i="4"/>
  <c r="J35" i="4"/>
  <c r="H36" i="4"/>
  <c r="G37" i="4"/>
  <c r="I36" i="4"/>
  <c r="I36" i="3"/>
  <c r="J35" i="3"/>
  <c r="G37" i="3"/>
  <c r="H37" i="3" s="1"/>
  <c r="L34" i="3"/>
  <c r="K35" i="3"/>
  <c r="M34" i="1"/>
  <c r="I35" i="1"/>
  <c r="J35" i="1" s="1"/>
  <c r="L36" i="1" s="1"/>
  <c r="G37" i="1"/>
  <c r="H36" i="1"/>
  <c r="L35" i="4" l="1"/>
  <c r="K36" i="4"/>
  <c r="I37" i="4"/>
  <c r="H37" i="4"/>
  <c r="G38" i="4"/>
  <c r="J36" i="4"/>
  <c r="I37" i="3"/>
  <c r="L35" i="3"/>
  <c r="K36" i="3"/>
  <c r="G38" i="3"/>
  <c r="H38" i="3" s="1"/>
  <c r="J36" i="3"/>
  <c r="M35" i="1"/>
  <c r="I36" i="1"/>
  <c r="J36" i="1" s="1"/>
  <c r="L37" i="1" s="1"/>
  <c r="G38" i="1"/>
  <c r="H37" i="1"/>
  <c r="J37" i="4" l="1"/>
  <c r="K37" i="4"/>
  <c r="L36" i="4"/>
  <c r="G39" i="4"/>
  <c r="I38" i="4"/>
  <c r="H38" i="4"/>
  <c r="I38" i="3"/>
  <c r="K37" i="3"/>
  <c r="L36" i="3"/>
  <c r="G39" i="3"/>
  <c r="H39" i="3" s="1"/>
  <c r="J37" i="3"/>
  <c r="M36" i="1"/>
  <c r="I37" i="1"/>
  <c r="J37" i="1" s="1"/>
  <c r="L38" i="1" s="1"/>
  <c r="G39" i="1"/>
  <c r="H38" i="1"/>
  <c r="L37" i="4" l="1"/>
  <c r="K38" i="4"/>
  <c r="J38" i="4"/>
  <c r="H39" i="4"/>
  <c r="G40" i="4"/>
  <c r="I39" i="4"/>
  <c r="I39" i="3"/>
  <c r="L37" i="3"/>
  <c r="K38" i="3"/>
  <c r="J38" i="3"/>
  <c r="G40" i="3"/>
  <c r="H40" i="3" s="1"/>
  <c r="M37" i="1"/>
  <c r="I38" i="1"/>
  <c r="J38" i="1" s="1"/>
  <c r="L39" i="1" s="1"/>
  <c r="G40" i="1"/>
  <c r="H39" i="1"/>
  <c r="L38" i="4" l="1"/>
  <c r="K39" i="4"/>
  <c r="I40" i="4"/>
  <c r="H40" i="4"/>
  <c r="G41" i="4"/>
  <c r="J39" i="4"/>
  <c r="I40" i="3"/>
  <c r="L38" i="3"/>
  <c r="K39" i="3"/>
  <c r="G41" i="3"/>
  <c r="H41" i="3" s="1"/>
  <c r="J39" i="3"/>
  <c r="M38" i="1"/>
  <c r="I39" i="1"/>
  <c r="J39" i="1" s="1"/>
  <c r="L40" i="1" s="1"/>
  <c r="G41" i="1"/>
  <c r="H40" i="1"/>
  <c r="J40" i="4" l="1"/>
  <c r="K40" i="4"/>
  <c r="L39" i="4"/>
  <c r="G42" i="4"/>
  <c r="I41" i="4"/>
  <c r="H41" i="4"/>
  <c r="I41" i="3"/>
  <c r="K40" i="3"/>
  <c r="L39" i="3"/>
  <c r="G42" i="3"/>
  <c r="H42" i="3" s="1"/>
  <c r="J40" i="3"/>
  <c r="M39" i="1"/>
  <c r="I40" i="1"/>
  <c r="J40" i="1" s="1"/>
  <c r="L41" i="1" s="1"/>
  <c r="G42" i="1"/>
  <c r="H41" i="1"/>
  <c r="J41" i="4" l="1"/>
  <c r="L40" i="4"/>
  <c r="H42" i="4"/>
  <c r="G43" i="4"/>
  <c r="I42" i="4"/>
  <c r="K41" i="4"/>
  <c r="I42" i="3"/>
  <c r="L40" i="3"/>
  <c r="K41" i="3"/>
  <c r="J41" i="3"/>
  <c r="G43" i="3"/>
  <c r="H43" i="3" s="1"/>
  <c r="M40" i="1"/>
  <c r="I41" i="1"/>
  <c r="J41" i="1" s="1"/>
  <c r="L42" i="1" s="1"/>
  <c r="G43" i="1"/>
  <c r="H42" i="1"/>
  <c r="L41" i="4" l="1"/>
  <c r="I43" i="4"/>
  <c r="H43" i="4"/>
  <c r="G44" i="4"/>
  <c r="K42" i="4"/>
  <c r="J42" i="4"/>
  <c r="I43" i="3"/>
  <c r="L41" i="3"/>
  <c r="K42" i="3"/>
  <c r="G44" i="3"/>
  <c r="H44" i="3" s="1"/>
  <c r="J42" i="3"/>
  <c r="M41" i="1"/>
  <c r="I42" i="1"/>
  <c r="J42" i="1" s="1"/>
  <c r="L43" i="1" s="1"/>
  <c r="G44" i="1"/>
  <c r="H43" i="1"/>
  <c r="J43" i="4" l="1"/>
  <c r="G45" i="4"/>
  <c r="I44" i="4"/>
  <c r="H44" i="4"/>
  <c r="K43" i="4"/>
  <c r="L42" i="4"/>
  <c r="I44" i="3"/>
  <c r="K43" i="3"/>
  <c r="L42" i="3"/>
  <c r="G45" i="3"/>
  <c r="H45" i="3" s="1"/>
  <c r="J43" i="3"/>
  <c r="M42" i="1"/>
  <c r="I43" i="1"/>
  <c r="J43" i="1" s="1"/>
  <c r="L44" i="1" s="1"/>
  <c r="G45" i="1"/>
  <c r="H44" i="1"/>
  <c r="L43" i="4" l="1"/>
  <c r="K44" i="4"/>
  <c r="J44" i="4"/>
  <c r="H45" i="4"/>
  <c r="G46" i="4"/>
  <c r="G47" i="4" s="1"/>
  <c r="I45" i="4"/>
  <c r="I45" i="3"/>
  <c r="J44" i="3"/>
  <c r="L43" i="3"/>
  <c r="K44" i="3"/>
  <c r="G46" i="3"/>
  <c r="H46" i="3" s="1"/>
  <c r="M43" i="1"/>
  <c r="I44" i="1"/>
  <c r="J44" i="1" s="1"/>
  <c r="L45" i="1" s="1"/>
  <c r="G46" i="1"/>
  <c r="H45" i="1"/>
  <c r="J45" i="4" l="1"/>
  <c r="I46" i="4"/>
  <c r="H46" i="4"/>
  <c r="L44" i="4"/>
  <c r="K45" i="4"/>
  <c r="I46" i="3"/>
  <c r="L44" i="3"/>
  <c r="K45" i="3"/>
  <c r="G47" i="3"/>
  <c r="H47" i="3" s="1"/>
  <c r="J45" i="3"/>
  <c r="M44" i="1"/>
  <c r="I45" i="1"/>
  <c r="J45" i="1" s="1"/>
  <c r="L46" i="1" s="1"/>
  <c r="G47" i="1"/>
  <c r="H46" i="1"/>
  <c r="K46" i="4" l="1"/>
  <c r="J46" i="4"/>
  <c r="I47" i="4"/>
  <c r="H47" i="4"/>
  <c r="L45" i="4"/>
  <c r="I47" i="3"/>
  <c r="K46" i="3"/>
  <c r="L45" i="3"/>
  <c r="G48" i="3"/>
  <c r="H48" i="3" s="1"/>
  <c r="J46" i="3"/>
  <c r="M45" i="1"/>
  <c r="I46" i="1"/>
  <c r="J46" i="1" s="1"/>
  <c r="L47" i="1" s="1"/>
  <c r="G48" i="1"/>
  <c r="H47" i="1"/>
  <c r="K47" i="4" l="1"/>
  <c r="L46" i="4"/>
  <c r="J47" i="4"/>
  <c r="I48" i="3"/>
  <c r="L46" i="3"/>
  <c r="K47" i="3"/>
  <c r="G49" i="3"/>
  <c r="H49" i="3" s="1"/>
  <c r="J47" i="3"/>
  <c r="M46" i="1"/>
  <c r="I47" i="1"/>
  <c r="J47" i="1" s="1"/>
  <c r="L48" i="1" s="1"/>
  <c r="G49" i="1"/>
  <c r="H48" i="1"/>
  <c r="L47" i="4" l="1"/>
  <c r="L2" i="4" s="1"/>
  <c r="L4" i="4" s="1"/>
  <c r="I49" i="3"/>
  <c r="L47" i="3"/>
  <c r="K48" i="3"/>
  <c r="G50" i="3"/>
  <c r="H50" i="3" s="1"/>
  <c r="J48" i="3"/>
  <c r="M47" i="1"/>
  <c r="I48" i="1"/>
  <c r="J48" i="1" s="1"/>
  <c r="L49" i="1" s="1"/>
  <c r="G50" i="1"/>
  <c r="H49" i="1"/>
  <c r="I50" i="3" l="1"/>
  <c r="K49" i="3"/>
  <c r="L48" i="3"/>
  <c r="G51" i="3"/>
  <c r="H51" i="3" s="1"/>
  <c r="J49" i="3"/>
  <c r="M48" i="1"/>
  <c r="I49" i="1"/>
  <c r="J49" i="1" s="1"/>
  <c r="L50" i="1" s="1"/>
  <c r="G51" i="1"/>
  <c r="H50" i="1"/>
  <c r="G52" i="3" l="1"/>
  <c r="H52" i="3" s="1"/>
  <c r="I51" i="3"/>
  <c r="L49" i="3"/>
  <c r="K50" i="3"/>
  <c r="J50" i="3"/>
  <c r="M49" i="1"/>
  <c r="I50" i="1"/>
  <c r="J50" i="1" s="1"/>
  <c r="L51" i="1" s="1"/>
  <c r="G52" i="1"/>
  <c r="H52" i="1" s="1"/>
  <c r="H51" i="1"/>
  <c r="I52" i="3" l="1"/>
  <c r="J52" i="3" s="1"/>
  <c r="G53" i="3"/>
  <c r="H53" i="3" s="1"/>
  <c r="L50" i="3"/>
  <c r="K51" i="3"/>
  <c r="J51" i="3"/>
  <c r="M50" i="1"/>
  <c r="I52" i="1"/>
  <c r="J52" i="1" s="1"/>
  <c r="I51" i="1"/>
  <c r="J51" i="1" s="1"/>
  <c r="L52" i="1" s="1"/>
  <c r="G54" i="3" l="1"/>
  <c r="H54" i="3" s="1"/>
  <c r="I53" i="3"/>
  <c r="J53" i="3" s="1"/>
  <c r="K52" i="3"/>
  <c r="L51" i="3"/>
  <c r="M51" i="1"/>
  <c r="M52" i="1" s="1"/>
  <c r="M2" i="1" s="1"/>
  <c r="I54" i="3" l="1"/>
  <c r="J54" i="3" s="1"/>
  <c r="P2" i="1"/>
  <c r="M9" i="1" s="1"/>
  <c r="L52" i="3"/>
  <c r="K53" i="3"/>
  <c r="K54" i="3" s="1"/>
  <c r="O2" i="4"/>
  <c r="L5" i="4" s="1"/>
  <c r="E21" i="12" s="1"/>
  <c r="E22" i="12" s="1"/>
  <c r="M4" i="1" l="1"/>
  <c r="C21" i="12"/>
  <c r="C22" i="12" s="1"/>
  <c r="L53" i="3"/>
  <c r="L54" i="3" s="1"/>
  <c r="L2" i="3" s="1"/>
  <c r="L4" i="3" s="1"/>
  <c r="O2" i="3" l="1"/>
  <c r="L5" i="3" s="1"/>
  <c r="D21" i="12" s="1"/>
  <c r="D22" i="12" s="1"/>
</calcChain>
</file>

<file path=xl/sharedStrings.xml><?xml version="1.0" encoding="utf-8"?>
<sst xmlns="http://schemas.openxmlformats.org/spreadsheetml/2006/main" count="291" uniqueCount="135">
  <si>
    <t>Current age (In years)</t>
  </si>
  <si>
    <t>Retirement age (In years)</t>
  </si>
  <si>
    <t>Salary in $</t>
  </si>
  <si>
    <t>Annual Salary growth</t>
  </si>
  <si>
    <t>Contribution rate</t>
  </si>
  <si>
    <t>Employer rate</t>
  </si>
  <si>
    <t>Inflation</t>
  </si>
  <si>
    <t>Years to retire</t>
  </si>
  <si>
    <t>Allocation</t>
  </si>
  <si>
    <t>Return</t>
  </si>
  <si>
    <t>Volatility</t>
  </si>
  <si>
    <t>HarbourSafe</t>
  </si>
  <si>
    <t>Expected Portfolio Return</t>
  </si>
  <si>
    <t>Horizon</t>
  </si>
  <si>
    <t>Expected Volatility</t>
  </si>
  <si>
    <t>SkyHigh</t>
  </si>
  <si>
    <t>Year</t>
  </si>
  <si>
    <t>Age</t>
  </si>
  <si>
    <t>Salary</t>
  </si>
  <si>
    <t>Employee contribution</t>
  </si>
  <si>
    <t>Employer contribution</t>
  </si>
  <si>
    <t>Total Contribution</t>
  </si>
  <si>
    <t>Closing balance (not imp)</t>
  </si>
  <si>
    <t>Investment return</t>
  </si>
  <si>
    <t>Total Balance</t>
  </si>
  <si>
    <t>SD</t>
  </si>
  <si>
    <t>Salary Growth %</t>
  </si>
  <si>
    <t>Simulation</t>
  </si>
  <si>
    <t>Portfolio Return</t>
  </si>
  <si>
    <t>Final Value</t>
  </si>
  <si>
    <t>Final value</t>
  </si>
  <si>
    <t>Lifestyle in Retirement (Annual Expenses at Age 65 in Today's Dollars):</t>
  </si>
  <si>
    <t>Category</t>
  </si>
  <si>
    <t>Monthly (NZD)</t>
  </si>
  <si>
    <t>Annual (NZD)</t>
  </si>
  <si>
    <t>Basic Living Expenses</t>
  </si>
  <si>
    <t>Healthcare</t>
  </si>
  <si>
    <t>Travel &amp; Leisure</t>
  </si>
  <si>
    <t>Miscellaneous/Buffer</t>
  </si>
  <si>
    <t>Total (Today’s Value)</t>
  </si>
  <si>
    <t>Year left for Emily (App)</t>
  </si>
  <si>
    <t>Retirement @65 years</t>
  </si>
  <si>
    <t>(Future Expense = Present Expense × (1 + Inflation) ^ Years_to_Retirement) - based on the concept of compound interest.</t>
  </si>
  <si>
    <t xml:space="preserve">Annuity value   - Req for Corpus </t>
  </si>
  <si>
    <r>
      <t xml:space="preserve">Real return of </t>
    </r>
    <r>
      <rPr>
        <b/>
        <sz val="11"/>
        <color theme="1"/>
        <rFont val="Aptos Narrow"/>
        <family val="2"/>
        <scheme val="minor"/>
      </rPr>
      <t>4.41%</t>
    </r>
  </si>
  <si>
    <t xml:space="preserve">Required Corpus is </t>
  </si>
  <si>
    <t>Final Corpus  Value</t>
  </si>
  <si>
    <t>Mean Corpus Value based on Monte Carlo</t>
  </si>
  <si>
    <t>85 years</t>
  </si>
  <si>
    <t>20 years of retirement</t>
  </si>
  <si>
    <t>inflation</t>
  </si>
  <si>
    <t>Mean</t>
  </si>
  <si>
    <t>Assuming Emily to live till</t>
  </si>
  <si>
    <t>fund in hand</t>
  </si>
  <si>
    <t xml:space="preserve">54000$ with inflation at 2% per year </t>
  </si>
  <si>
    <r>
      <t xml:space="preserve">Emily needs a </t>
    </r>
    <r>
      <rPr>
        <b/>
        <sz val="11"/>
        <color theme="1"/>
        <rFont val="Aptos Narrow"/>
        <family val="2"/>
        <scheme val="minor"/>
      </rPr>
      <t>retirement corpus of approximately NZD 1.1 million</t>
    </r>
    <r>
      <rPr>
        <sz val="11"/>
        <color theme="1"/>
        <rFont val="Aptos Narrow"/>
        <family val="2"/>
        <scheme val="minor"/>
      </rPr>
      <t xml:space="preserve"> at age 65-70 to fund 20 years of retirement with:</t>
    </r>
  </si>
  <si>
    <r>
      <t xml:space="preserve">Annual lifestyle cost of </t>
    </r>
    <r>
      <rPr>
        <b/>
        <sz val="11"/>
        <color theme="1"/>
        <rFont val="Aptos Narrow"/>
        <family val="2"/>
        <scheme val="minor"/>
      </rPr>
      <t>NZD 1.1 MILLION</t>
    </r>
  </si>
  <si>
    <t>~1.5 MILLION</t>
  </si>
  <si>
    <t>(+ 2 years)</t>
  </si>
  <si>
    <t>Mean Annual Salary growth</t>
  </si>
  <si>
    <t>Difference</t>
  </si>
  <si>
    <t>A</t>
  </si>
  <si>
    <t>B</t>
  </si>
  <si>
    <t>C</t>
  </si>
  <si>
    <t>D</t>
  </si>
  <si>
    <t>E</t>
  </si>
  <si>
    <t>F</t>
  </si>
  <si>
    <t>G</t>
  </si>
  <si>
    <t>H</t>
  </si>
  <si>
    <t>Fund</t>
  </si>
  <si>
    <t>Portfolio return</t>
  </si>
  <si>
    <t>Microsoft Excel 16.0 Sensitivity Report</t>
  </si>
  <si>
    <t>Worksheet: [705 Group Assignment - Sensitivity.xlsx]Best Case</t>
  </si>
  <si>
    <t>Variable Cells</t>
  </si>
  <si>
    <t>Cell</t>
  </si>
  <si>
    <t>Name</t>
  </si>
  <si>
    <t>Final</t>
  </si>
  <si>
    <t>Value</t>
  </si>
  <si>
    <t>Reduced</t>
  </si>
  <si>
    <t>Gradient</t>
  </si>
  <si>
    <t>Constraints</t>
  </si>
  <si>
    <t>Lagrange</t>
  </si>
  <si>
    <t>Multiplier</t>
  </si>
  <si>
    <t>$V$5</t>
  </si>
  <si>
    <t>HarbourSafe Allocation</t>
  </si>
  <si>
    <t>$V$6</t>
  </si>
  <si>
    <t>Horizon Allocation</t>
  </si>
  <si>
    <t>$V$7</t>
  </si>
  <si>
    <t>SkyHigh Allocation</t>
  </si>
  <si>
    <t>$V$11</t>
  </si>
  <si>
    <t>Expected Portfolio Return Allocation</t>
  </si>
  <si>
    <t>$V$8</t>
  </si>
  <si>
    <t>Years to retire Allocation</t>
  </si>
  <si>
    <t>Worksheet: [705 Group Assignment - Sensitivity.xlsx]Worst Case</t>
  </si>
  <si>
    <t>Report Created: 31/05/2025 7:34:44 pm</t>
  </si>
  <si>
    <t>Report Created: 31/05/2025 7:37:20 pm</t>
  </si>
  <si>
    <t>Worksheet: [705 Group Assignment - Sensitivity.xlsx]Base Case</t>
  </si>
  <si>
    <t>Report Created: 31/05/2025 7:45:25 pm</t>
  </si>
  <si>
    <t>Base Case</t>
  </si>
  <si>
    <t>Best Case</t>
  </si>
  <si>
    <t>Worst Case</t>
  </si>
  <si>
    <t>Retirement Age</t>
  </si>
  <si>
    <t>65 Years</t>
  </si>
  <si>
    <t>67 Years</t>
  </si>
  <si>
    <t>60 Years</t>
  </si>
  <si>
    <t>Contribution b/w 46 to 60 years</t>
  </si>
  <si>
    <t>Contribution after 60 years</t>
  </si>
  <si>
    <t>Employee Contribution till 45 years</t>
  </si>
  <si>
    <t>Total number of Years as employee</t>
  </si>
  <si>
    <t>35 Years</t>
  </si>
  <si>
    <t>37 Years</t>
  </si>
  <si>
    <t>30 Years</t>
  </si>
  <si>
    <t>Employer Contribution</t>
  </si>
  <si>
    <t>Standard Deviation on Hike</t>
  </si>
  <si>
    <t>Assumed Emily Expenses per annum</t>
  </si>
  <si>
    <t xml:space="preserve">With 2% inflation  -Expense need @ 65 years </t>
  </si>
  <si>
    <t>~ 1.1 Million</t>
  </si>
  <si>
    <t>Annuity Lifestyle Cost - Required Capital</t>
  </si>
  <si>
    <t>~ 1.5 Million</t>
  </si>
  <si>
    <t>Harbour Safe Allocation %</t>
  </si>
  <si>
    <t>Horizon Allocation %</t>
  </si>
  <si>
    <t>SkyHigh Allocation %</t>
  </si>
  <si>
    <t>Expected Portfolio Return % using Solver</t>
  </si>
  <si>
    <t xml:space="preserve">Volatility - Risk </t>
  </si>
  <si>
    <t xml:space="preserve">Simulation Result for Corpus </t>
  </si>
  <si>
    <t>Corpus Shortfall/Surplus</t>
  </si>
  <si>
    <t xml:space="preserve">Superannuation Planning Report for Emily </t>
  </si>
  <si>
    <t>30 years</t>
  </si>
  <si>
    <t>Given</t>
  </si>
  <si>
    <t>Assumption</t>
  </si>
  <si>
    <t>Optimisation 
- Using Solver</t>
  </si>
  <si>
    <t>Monte-Carlo Simulation</t>
  </si>
  <si>
    <t>Scenarios:</t>
  </si>
  <si>
    <t>---- Living Expenses, Health, Leisure, Travel</t>
  </si>
  <si>
    <t>---- Hike is randomized using Norm.Inv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</si>
</sst>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2EC03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9" fontId="2" fillId="0" borderId="0" xfId="0" applyNumberFormat="1" applyFont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2" fillId="2" borderId="0" xfId="0" applyFont="1" applyFill="1"/>
    <xf numFmtId="9" fontId="0" fillId="0" borderId="0" xfId="2" applyFont="1"/>
    <xf numFmtId="164" fontId="0" fillId="0" borderId="0" xfId="2" applyNumberFormat="1" applyFont="1"/>
    <xf numFmtId="2" fontId="0" fillId="0" borderId="0" xfId="0" applyNumberFormat="1"/>
    <xf numFmtId="164" fontId="2" fillId="0" borderId="0" xfId="2" applyNumberFormat="1" applyFont="1"/>
    <xf numFmtId="2" fontId="2" fillId="0" borderId="0" xfId="0" applyNumberFormat="1" applyFont="1"/>
    <xf numFmtId="10" fontId="0" fillId="0" borderId="0" xfId="2" applyNumberFormat="1" applyFon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2" fillId="3" borderId="0" xfId="0" applyFont="1" applyFill="1"/>
    <xf numFmtId="0" fontId="3" fillId="4" borderId="0" xfId="0" applyFont="1" applyFill="1"/>
    <xf numFmtId="0" fontId="2" fillId="3" borderId="0" xfId="0" applyFont="1" applyFill="1" applyAlignment="1">
      <alignment wrapText="1"/>
    </xf>
    <xf numFmtId="9" fontId="2" fillId="3" borderId="0" xfId="0" applyNumberFormat="1" applyFont="1" applyFill="1" applyAlignment="1">
      <alignment wrapText="1"/>
    </xf>
    <xf numFmtId="10" fontId="2" fillId="3" borderId="0" xfId="0" applyNumberFormat="1" applyFont="1" applyFill="1" applyAlignment="1">
      <alignment wrapText="1"/>
    </xf>
    <xf numFmtId="10" fontId="5" fillId="0" borderId="0" xfId="0" applyNumberFormat="1" applyFont="1"/>
    <xf numFmtId="0" fontId="3" fillId="0" borderId="0" xfId="0" applyFont="1"/>
    <xf numFmtId="0" fontId="6" fillId="0" borderId="0" xfId="0" applyFont="1"/>
    <xf numFmtId="2" fontId="6" fillId="0" borderId="0" xfId="0" applyNumberFormat="1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44" fontId="6" fillId="0" borderId="0" xfId="3" applyFont="1"/>
    <xf numFmtId="44" fontId="0" fillId="0" borderId="0" xfId="0" applyNumberFormat="1"/>
    <xf numFmtId="44" fontId="6" fillId="0" borderId="0" xfId="0" applyNumberFormat="1" applyFont="1"/>
    <xf numFmtId="0" fontId="0" fillId="0" borderId="0" xfId="0" applyAlignment="1">
      <alignment horizontal="left" vertical="center" indent="1"/>
    </xf>
    <xf numFmtId="0" fontId="0" fillId="3" borderId="0" xfId="0" applyFill="1"/>
    <xf numFmtId="0" fontId="0" fillId="3" borderId="0" xfId="0" applyFill="1" applyAlignment="1">
      <alignment horizontal="left" vertical="center" indent="1"/>
    </xf>
    <xf numFmtId="44" fontId="6" fillId="3" borderId="0" xfId="0" applyNumberFormat="1" applyFont="1" applyFill="1"/>
    <xf numFmtId="44" fontId="3" fillId="0" borderId="0" xfId="3" applyFont="1"/>
    <xf numFmtId="44" fontId="5" fillId="0" borderId="0" xfId="0" applyNumberFormat="1" applyFont="1"/>
    <xf numFmtId="44" fontId="8" fillId="0" borderId="0" xfId="0" applyNumberFormat="1" applyFont="1"/>
    <xf numFmtId="43" fontId="0" fillId="0" borderId="0" xfId="1" applyFont="1"/>
    <xf numFmtId="0" fontId="0" fillId="0" borderId="3" xfId="0" applyBorder="1"/>
    <xf numFmtId="0" fontId="0" fillId="0" borderId="4" xfId="0" applyBorder="1"/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3" borderId="0" xfId="0" applyFont="1" applyFill="1"/>
    <xf numFmtId="44" fontId="0" fillId="5" borderId="5" xfId="3" applyFont="1" applyFill="1" applyBorder="1"/>
    <xf numFmtId="44" fontId="0" fillId="7" borderId="5" xfId="3" applyFont="1" applyFill="1" applyBorder="1"/>
    <xf numFmtId="0" fontId="0" fillId="7" borderId="5" xfId="0" applyFill="1" applyBorder="1" applyAlignment="1">
      <alignment horizontal="right"/>
    </xf>
    <xf numFmtId="0" fontId="0" fillId="5" borderId="5" xfId="0" applyFill="1" applyBorder="1" applyAlignment="1">
      <alignment horizontal="right"/>
    </xf>
    <xf numFmtId="9" fontId="0" fillId="7" borderId="5" xfId="0" applyNumberFormat="1" applyFill="1" applyBorder="1" applyAlignment="1">
      <alignment horizontal="right"/>
    </xf>
    <xf numFmtId="9" fontId="6" fillId="5" borderId="5" xfId="0" applyNumberFormat="1" applyFont="1" applyFill="1" applyBorder="1" applyAlignment="1">
      <alignment horizontal="right"/>
    </xf>
    <xf numFmtId="9" fontId="0" fillId="5" borderId="5" xfId="0" applyNumberFormat="1" applyFill="1" applyBorder="1" applyAlignment="1">
      <alignment horizontal="right"/>
    </xf>
    <xf numFmtId="10" fontId="0" fillId="7" borderId="5" xfId="0" applyNumberFormat="1" applyFill="1" applyBorder="1" applyAlignment="1">
      <alignment horizontal="right"/>
    </xf>
    <xf numFmtId="10" fontId="0" fillId="5" borderId="5" xfId="0" applyNumberFormat="1" applyFill="1" applyBorder="1" applyAlignment="1">
      <alignment horizontal="right"/>
    </xf>
    <xf numFmtId="164" fontId="0" fillId="7" borderId="5" xfId="2" applyNumberFormat="1" applyFont="1" applyFill="1" applyBorder="1" applyAlignment="1">
      <alignment horizontal="right"/>
    </xf>
    <xf numFmtId="0" fontId="6" fillId="7" borderId="5" xfId="0" applyFont="1" applyFill="1" applyBorder="1" applyAlignment="1">
      <alignment horizontal="right"/>
    </xf>
    <xf numFmtId="0" fontId="6" fillId="5" borderId="5" xfId="0" applyFont="1" applyFill="1" applyBorder="1" applyAlignment="1">
      <alignment horizontal="right"/>
    </xf>
    <xf numFmtId="0" fontId="14" fillId="0" borderId="0" xfId="0" applyFont="1"/>
    <xf numFmtId="0" fontId="0" fillId="3" borderId="11" xfId="0" applyFill="1" applyBorder="1"/>
    <xf numFmtId="0" fontId="6" fillId="7" borderId="11" xfId="0" applyFont="1" applyFill="1" applyBorder="1"/>
    <xf numFmtId="0" fontId="6" fillId="7" borderId="13" xfId="0" applyFont="1" applyFill="1" applyBorder="1"/>
    <xf numFmtId="44" fontId="11" fillId="7" borderId="14" xfId="0" applyNumberFormat="1" applyFont="1" applyFill="1" applyBorder="1"/>
    <xf numFmtId="44" fontId="12" fillId="5" borderId="14" xfId="0" applyNumberFormat="1" applyFont="1" applyFill="1" applyBorder="1"/>
    <xf numFmtId="0" fontId="6" fillId="8" borderId="12" xfId="0" applyFont="1" applyFill="1" applyBorder="1" applyAlignment="1">
      <alignment horizontal="right"/>
    </xf>
    <xf numFmtId="0" fontId="0" fillId="8" borderId="12" xfId="0" applyFill="1" applyBorder="1" applyAlignment="1">
      <alignment horizontal="right"/>
    </xf>
    <xf numFmtId="9" fontId="0" fillId="8" borderId="12" xfId="0" applyNumberFormat="1" applyFill="1" applyBorder="1" applyAlignment="1">
      <alignment horizontal="right"/>
    </xf>
    <xf numFmtId="10" fontId="0" fillId="8" borderId="12" xfId="0" applyNumberFormat="1" applyFill="1" applyBorder="1" applyAlignment="1">
      <alignment horizontal="right"/>
    </xf>
    <xf numFmtId="44" fontId="0" fillId="8" borderId="12" xfId="3" applyFont="1" applyFill="1" applyBorder="1"/>
    <xf numFmtId="44" fontId="11" fillId="8" borderId="15" xfId="0" applyNumberFormat="1" applyFont="1" applyFill="1" applyBorder="1"/>
    <xf numFmtId="0" fontId="2" fillId="7" borderId="10" xfId="0" applyFont="1" applyFill="1" applyBorder="1"/>
    <xf numFmtId="0" fontId="2" fillId="7" borderId="6" xfId="0" applyFont="1" applyFill="1" applyBorder="1" applyAlignment="1">
      <alignment horizontal="right"/>
    </xf>
    <xf numFmtId="0" fontId="0" fillId="7" borderId="6" xfId="0" applyFill="1" applyBorder="1"/>
    <xf numFmtId="0" fontId="0" fillId="7" borderId="7" xfId="0" applyFill="1" applyBorder="1"/>
    <xf numFmtId="0" fontId="2" fillId="7" borderId="11" xfId="0" applyFont="1" applyFill="1" applyBorder="1"/>
    <xf numFmtId="44" fontId="2" fillId="7" borderId="0" xfId="3" applyFont="1" applyFill="1" applyBorder="1"/>
    <xf numFmtId="0" fontId="0" fillId="7" borderId="0" xfId="0" applyFill="1"/>
    <xf numFmtId="0" fontId="0" fillId="7" borderId="9" xfId="0" applyFill="1" applyBorder="1"/>
    <xf numFmtId="10" fontId="2" fillId="7" borderId="0" xfId="0" applyNumberFormat="1" applyFont="1" applyFill="1"/>
    <xf numFmtId="0" fontId="13" fillId="7" borderId="0" xfId="0" quotePrefix="1" applyFont="1" applyFill="1"/>
    <xf numFmtId="9" fontId="2" fillId="7" borderId="0" xfId="0" applyNumberFormat="1" applyFont="1" applyFill="1"/>
    <xf numFmtId="0" fontId="0" fillId="7" borderId="11" xfId="0" applyFill="1" applyBorder="1"/>
    <xf numFmtId="44" fontId="0" fillId="7" borderId="0" xfId="3" applyFont="1" applyFill="1" applyBorder="1"/>
    <xf numFmtId="44" fontId="0" fillId="7" borderId="0" xfId="0" applyNumberFormat="1" applyFill="1"/>
    <xf numFmtId="0" fontId="6" fillId="3" borderId="9" xfId="0" applyFont="1" applyFill="1" applyBorder="1"/>
    <xf numFmtId="0" fontId="6" fillId="7" borderId="8" xfId="0" applyFont="1" applyFill="1" applyBorder="1"/>
    <xf numFmtId="0" fontId="0" fillId="0" borderId="0" xfId="0" applyAlignment="1">
      <alignment vertical="top"/>
    </xf>
    <xf numFmtId="0" fontId="6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5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15" fillId="0" borderId="0" xfId="0" applyFont="1" applyAlignment="1">
      <alignment horizontal="left" vertical="top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CCCC"/>
      <color rgb="FFFF7C80"/>
      <color rgb="FFF5DFF1"/>
      <color rgb="FFFCF6FB"/>
      <color rgb="FFFFCC99"/>
      <color rgb="FFFFF6D9"/>
      <color rgb="FF2EC0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Corpus Shortfall/Surplus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098-4336-8E23-745E9E8A75C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98-4336-8E23-745E9E8A75C5}"/>
              </c:ext>
            </c:extLst>
          </c:dPt>
          <c:dPt>
            <c:idx val="2"/>
            <c:invertIfNegative val="0"/>
            <c:bubble3D val="0"/>
            <c:spPr>
              <a:solidFill>
                <a:srgbClr val="FF7C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98-4336-8E23-745E9E8A7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Dashboard!$C$22:$E$22</c:f>
              <c:numCache>
                <c:formatCode>_("$"* #,##0.00_);_("$"* \(#,##0.00\);_("$"* "-"??_);_(@_)</c:formatCode>
                <c:ptCount val="3"/>
                <c:pt idx="0">
                  <c:v>-894410.74688182375</c:v>
                </c:pt>
                <c:pt idx="1">
                  <c:v>89310.800056770211</c:v>
                </c:pt>
                <c:pt idx="2">
                  <c:v>-1093756.358309465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8-4336-8E23-745E9E8A7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17248"/>
        <c:axId val="105118208"/>
      </c:barChart>
      <c:catAx>
        <c:axId val="10511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8208"/>
        <c:crosses val="autoZero"/>
        <c:auto val="1"/>
        <c:lblAlgn val="ctr"/>
        <c:lblOffset val="100"/>
        <c:noMultiLvlLbl val="0"/>
      </c:catAx>
      <c:valAx>
        <c:axId val="105118208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1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Fund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Sheet7!$D$6</c:f>
              <c:strCache>
                <c:ptCount val="1"/>
                <c:pt idx="0">
                  <c:v>Harbour Safe Allocation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Sheet7!$E$6:$G$6</c:f>
              <c:numCache>
                <c:formatCode>0%</c:formatCode>
                <c:ptCount val="3"/>
                <c:pt idx="0">
                  <c:v>0.4</c:v>
                </c:pt>
                <c:pt idx="1">
                  <c:v>0.1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3-443C-A257-5C9B16EE67D7}"/>
            </c:ext>
          </c:extLst>
        </c:ser>
        <c:ser>
          <c:idx val="1"/>
          <c:order val="1"/>
          <c:tx>
            <c:strRef>
              <c:f>Sheet7!$D$7</c:f>
              <c:strCache>
                <c:ptCount val="1"/>
                <c:pt idx="0">
                  <c:v>Horizon Allocation %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Sheet7!$E$7:$G$7</c:f>
              <c:numCache>
                <c:formatCode>0%</c:formatCode>
                <c:ptCount val="3"/>
                <c:pt idx="0">
                  <c:v>0.3</c:v>
                </c:pt>
                <c:pt idx="1">
                  <c:v>0.35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3-443C-A257-5C9B16EE67D7}"/>
            </c:ext>
          </c:extLst>
        </c:ser>
        <c:ser>
          <c:idx val="2"/>
          <c:order val="2"/>
          <c:tx>
            <c:strRef>
              <c:f>Sheet7!$D$8</c:f>
              <c:strCache>
                <c:ptCount val="1"/>
                <c:pt idx="0">
                  <c:v>SkyHigh Allocation %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Sheet7!$E$8:$G$8</c:f>
              <c:numCache>
                <c:formatCode>0%</c:formatCode>
                <c:ptCount val="3"/>
                <c:pt idx="0">
                  <c:v>0.3</c:v>
                </c:pt>
                <c:pt idx="1">
                  <c:v>0.55000000000000004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3-443C-A257-5C9B16EE6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812528"/>
        <c:axId val="810816848"/>
      </c:barChart>
      <c:catAx>
        <c:axId val="81081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16848"/>
        <c:crosses val="autoZero"/>
        <c:auto val="1"/>
        <c:lblAlgn val="ctr"/>
        <c:lblOffset val="100"/>
        <c:noMultiLvlLbl val="0"/>
      </c:catAx>
      <c:valAx>
        <c:axId val="8108168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Fund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Sheet7!$D$6</c:f>
              <c:strCache>
                <c:ptCount val="1"/>
                <c:pt idx="0">
                  <c:v>Harbour Safe Allocation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Sheet7!$E$6:$G$6</c:f>
              <c:numCache>
                <c:formatCode>0%</c:formatCode>
                <c:ptCount val="3"/>
                <c:pt idx="0">
                  <c:v>0.4</c:v>
                </c:pt>
                <c:pt idx="1">
                  <c:v>0.1</c:v>
                </c:pt>
                <c:pt idx="2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F-4982-B25B-484D043EADA4}"/>
            </c:ext>
          </c:extLst>
        </c:ser>
        <c:ser>
          <c:idx val="1"/>
          <c:order val="1"/>
          <c:tx>
            <c:strRef>
              <c:f>Sheet7!$D$7</c:f>
              <c:strCache>
                <c:ptCount val="1"/>
                <c:pt idx="0">
                  <c:v>Horizon Allocation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Sheet7!$E$7:$G$7</c:f>
              <c:numCache>
                <c:formatCode>0%</c:formatCode>
                <c:ptCount val="3"/>
                <c:pt idx="0">
                  <c:v>0.3</c:v>
                </c:pt>
                <c:pt idx="1">
                  <c:v>0.35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F-4982-B25B-484D043EADA4}"/>
            </c:ext>
          </c:extLst>
        </c:ser>
        <c:ser>
          <c:idx val="2"/>
          <c:order val="2"/>
          <c:tx>
            <c:strRef>
              <c:f>Sheet7!$D$8</c:f>
              <c:strCache>
                <c:ptCount val="1"/>
                <c:pt idx="0">
                  <c:v>SkyHigh Allocation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Sheet7!$E$5:$G$5</c:f>
              <c:strCache>
                <c:ptCount val="3"/>
                <c:pt idx="0">
                  <c:v>Base Case</c:v>
                </c:pt>
                <c:pt idx="1">
                  <c:v>Best Case</c:v>
                </c:pt>
                <c:pt idx="2">
                  <c:v>Worst Case</c:v>
                </c:pt>
              </c:strCache>
            </c:strRef>
          </c:cat>
          <c:val>
            <c:numRef>
              <c:f>Sheet7!$E$8:$G$8</c:f>
              <c:numCache>
                <c:formatCode>0%</c:formatCode>
                <c:ptCount val="3"/>
                <c:pt idx="0">
                  <c:v>0.3</c:v>
                </c:pt>
                <c:pt idx="1">
                  <c:v>0.55000000000000004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F-4982-B25B-484D043EA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812528"/>
        <c:axId val="810816848"/>
      </c:barChart>
      <c:catAx>
        <c:axId val="81081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16848"/>
        <c:crosses val="autoZero"/>
        <c:auto val="1"/>
        <c:lblAlgn val="ctr"/>
        <c:lblOffset val="100"/>
        <c:noMultiLvlLbl val="0"/>
      </c:catAx>
      <c:valAx>
        <c:axId val="8108168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121920</xdr:rowOff>
    </xdr:from>
    <xdr:to>
      <xdr:col>13</xdr:col>
      <xdr:colOff>7620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63DB8-06D0-49A1-E617-AF8671C8F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0</xdr:row>
      <xdr:rowOff>0</xdr:rowOff>
    </xdr:from>
    <xdr:to>
      <xdr:col>13</xdr:col>
      <xdr:colOff>15240</xdr:colOff>
      <xdr:row>10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2D91F-E029-4731-AB8C-4A1D0B63C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6</xdr:row>
      <xdr:rowOff>41910</xdr:rowOff>
    </xdr:from>
    <xdr:to>
      <xdr:col>13</xdr:col>
      <xdr:colOff>91440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6714F-407C-8CF9-3D4A-CDDC9F6DF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212923</xdr:colOff>
      <xdr:row>16</xdr:row>
      <xdr:rowOff>175260</xdr:rowOff>
    </xdr:from>
    <xdr:to>
      <xdr:col>14</xdr:col>
      <xdr:colOff>508590</xdr:colOff>
      <xdr:row>26</xdr:row>
      <xdr:rowOff>177629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9639F-48B5-EB1A-6B6D-E9246EC05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5343" y="4792980"/>
          <a:ext cx="3998140" cy="1831169"/>
        </a:xfrm>
        <a:prstGeom prst="rect">
          <a:avLst/>
        </a:prstGeom>
      </xdr:spPr>
    </xdr:pic>
    <xdr:clientData/>
  </xdr:twoCellAnchor>
  <xdr:twoCellAnchor>
    <xdr:from>
      <xdr:col>7</xdr:col>
      <xdr:colOff>419100</xdr:colOff>
      <xdr:row>18</xdr:row>
      <xdr:rowOff>91440</xdr:rowOff>
    </xdr:from>
    <xdr:to>
      <xdr:col>9</xdr:col>
      <xdr:colOff>434340</xdr:colOff>
      <xdr:row>20</xdr:row>
      <xdr:rowOff>91440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028424A-38A6-0B98-EC25-DC82E33E0139}"/>
            </a:ext>
          </a:extLst>
        </xdr:cNvPr>
        <xdr:cNvSpPr/>
      </xdr:nvSpPr>
      <xdr:spPr>
        <a:xfrm>
          <a:off x="7132320" y="5074920"/>
          <a:ext cx="1234440" cy="3657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ED4974-BDBC-4186-BA9E-8F739F9B7B65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PtdcMzwiEYaPz2xl0Am0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48A1-F7E2-4D78-A1C0-0F8EC22FD499}">
  <dimension ref="A1:M23"/>
  <sheetViews>
    <sheetView workbookViewId="0">
      <selection activeCell="D25" sqref="D25"/>
    </sheetView>
  </sheetViews>
  <sheetFormatPr defaultRowHeight="14.5" x14ac:dyDescent="0.35"/>
  <cols>
    <col min="1" max="1" width="22" customWidth="1"/>
    <col min="2" max="2" width="36.54296875" customWidth="1"/>
    <col min="3" max="3" width="14.36328125" customWidth="1"/>
    <col min="4" max="4" width="16.54296875" customWidth="1"/>
    <col min="5" max="5" width="19.54296875" customWidth="1"/>
  </cols>
  <sheetData>
    <row r="1" spans="1:7" ht="21.5" thickBot="1" x14ac:dyDescent="0.55000000000000004">
      <c r="A1" s="92" t="s">
        <v>126</v>
      </c>
      <c r="B1" s="93"/>
      <c r="C1" s="93"/>
      <c r="D1" s="93"/>
      <c r="E1" s="94"/>
    </row>
    <row r="2" spans="1:7" x14ac:dyDescent="0.35">
      <c r="A2" s="89" t="s">
        <v>128</v>
      </c>
      <c r="B2" s="72" t="s">
        <v>0</v>
      </c>
      <c r="C2" s="73" t="s">
        <v>127</v>
      </c>
      <c r="D2" s="74"/>
      <c r="E2" s="75"/>
    </row>
    <row r="3" spans="1:7" x14ac:dyDescent="0.35">
      <c r="A3" s="89"/>
      <c r="B3" s="76" t="s">
        <v>2</v>
      </c>
      <c r="C3" s="77">
        <v>70000</v>
      </c>
      <c r="D3" s="78"/>
      <c r="E3" s="79"/>
    </row>
    <row r="4" spans="1:7" x14ac:dyDescent="0.35">
      <c r="A4" s="89"/>
      <c r="B4" s="76" t="s">
        <v>59</v>
      </c>
      <c r="C4" s="80">
        <v>3.5000000000000003E-2</v>
      </c>
      <c r="D4" s="78"/>
      <c r="E4" s="79"/>
    </row>
    <row r="5" spans="1:7" x14ac:dyDescent="0.35">
      <c r="A5" s="89"/>
      <c r="B5" s="76" t="s">
        <v>113</v>
      </c>
      <c r="C5" s="80">
        <v>7.0000000000000001E-3</v>
      </c>
      <c r="D5" s="81" t="s">
        <v>134</v>
      </c>
      <c r="E5" s="79"/>
      <c r="G5" s="60"/>
    </row>
    <row r="6" spans="1:7" x14ac:dyDescent="0.35">
      <c r="A6" s="89"/>
      <c r="B6" s="76" t="s">
        <v>112</v>
      </c>
      <c r="C6" s="82">
        <v>0.03</v>
      </c>
      <c r="D6" s="78"/>
      <c r="E6" s="79"/>
    </row>
    <row r="7" spans="1:7" x14ac:dyDescent="0.35">
      <c r="A7" s="89" t="s">
        <v>129</v>
      </c>
      <c r="B7" s="83" t="s">
        <v>114</v>
      </c>
      <c r="C7" s="84">
        <f>'Retirement Capital'!E12</f>
        <v>54000</v>
      </c>
      <c r="D7" s="81" t="s">
        <v>133</v>
      </c>
      <c r="E7" s="79"/>
    </row>
    <row r="8" spans="1:7" x14ac:dyDescent="0.35">
      <c r="A8" s="89"/>
      <c r="B8" s="83" t="s">
        <v>115</v>
      </c>
      <c r="C8" s="85">
        <f ca="1">'Retirement Capital'!E16</f>
        <v>105659.23730296794</v>
      </c>
      <c r="D8" s="81" t="s">
        <v>116</v>
      </c>
      <c r="E8" s="79"/>
    </row>
    <row r="9" spans="1:7" x14ac:dyDescent="0.35">
      <c r="A9" s="89"/>
      <c r="B9" s="61" t="s">
        <v>117</v>
      </c>
      <c r="C9" s="38">
        <f>'Retirement Capital'!E27</f>
        <v>1454757</v>
      </c>
      <c r="D9" s="47" t="s">
        <v>118</v>
      </c>
      <c r="E9" s="86"/>
    </row>
    <row r="10" spans="1:7" x14ac:dyDescent="0.35">
      <c r="A10" s="89"/>
      <c r="B10" s="87" t="s">
        <v>132</v>
      </c>
      <c r="C10" s="58" t="s">
        <v>98</v>
      </c>
      <c r="D10" s="59" t="s">
        <v>99</v>
      </c>
      <c r="E10" s="66" t="s">
        <v>100</v>
      </c>
    </row>
    <row r="11" spans="1:7" x14ac:dyDescent="0.35">
      <c r="A11" s="89"/>
      <c r="B11" s="62" t="s">
        <v>101</v>
      </c>
      <c r="C11" s="50" t="s">
        <v>102</v>
      </c>
      <c r="D11" s="51" t="s">
        <v>103</v>
      </c>
      <c r="E11" s="67" t="s">
        <v>104</v>
      </c>
    </row>
    <row r="12" spans="1:7" x14ac:dyDescent="0.35">
      <c r="A12" s="89"/>
      <c r="B12" s="62" t="s">
        <v>108</v>
      </c>
      <c r="C12" s="50" t="s">
        <v>109</v>
      </c>
      <c r="D12" s="51" t="s">
        <v>110</v>
      </c>
      <c r="E12" s="67" t="s">
        <v>111</v>
      </c>
    </row>
    <row r="13" spans="1:7" x14ac:dyDescent="0.35">
      <c r="A13" s="89"/>
      <c r="B13" s="62" t="s">
        <v>107</v>
      </c>
      <c r="C13" s="52">
        <v>0.03</v>
      </c>
      <c r="D13" s="53">
        <v>0.1</v>
      </c>
      <c r="E13" s="68">
        <v>0.03</v>
      </c>
    </row>
    <row r="14" spans="1:7" x14ac:dyDescent="0.35">
      <c r="A14" s="89"/>
      <c r="B14" s="62" t="s">
        <v>105</v>
      </c>
      <c r="C14" s="52">
        <v>0.03</v>
      </c>
      <c r="D14" s="53">
        <v>0.06</v>
      </c>
      <c r="E14" s="68">
        <v>0.03</v>
      </c>
    </row>
    <row r="15" spans="1:7" x14ac:dyDescent="0.35">
      <c r="A15" s="89"/>
      <c r="B15" s="62" t="s">
        <v>106</v>
      </c>
      <c r="C15" s="52">
        <v>0.03</v>
      </c>
      <c r="D15" s="53">
        <v>0.03</v>
      </c>
      <c r="E15" s="68">
        <v>0.03</v>
      </c>
    </row>
    <row r="16" spans="1:7" x14ac:dyDescent="0.35">
      <c r="A16" s="90" t="s">
        <v>130</v>
      </c>
      <c r="B16" s="62" t="s">
        <v>119</v>
      </c>
      <c r="C16" s="52">
        <f>'Base Case'!D11</f>
        <v>0.4</v>
      </c>
      <c r="D16" s="54">
        <f>'Best Case'!D11</f>
        <v>0.1</v>
      </c>
      <c r="E16" s="68">
        <f>'Worst Case'!D11</f>
        <v>0.8</v>
      </c>
    </row>
    <row r="17" spans="1:13" x14ac:dyDescent="0.35">
      <c r="A17" s="89"/>
      <c r="B17" s="62" t="s">
        <v>120</v>
      </c>
      <c r="C17" s="52">
        <f>'Base Case'!D12</f>
        <v>0.3</v>
      </c>
      <c r="D17" s="54">
        <f>'Best Case'!D12</f>
        <v>0.35</v>
      </c>
      <c r="E17" s="68">
        <f>'Worst Case'!D12</f>
        <v>0.1</v>
      </c>
    </row>
    <row r="18" spans="1:13" x14ac:dyDescent="0.35">
      <c r="A18" s="89"/>
      <c r="B18" s="62" t="s">
        <v>121</v>
      </c>
      <c r="C18" s="52">
        <f>'Base Case'!D13</f>
        <v>0.3</v>
      </c>
      <c r="D18" s="54">
        <f>'Best Case'!D13</f>
        <v>0.55000000000000004</v>
      </c>
      <c r="E18" s="68">
        <f>'Worst Case'!D13</f>
        <v>0.1</v>
      </c>
    </row>
    <row r="19" spans="1:13" x14ac:dyDescent="0.35">
      <c r="A19" s="89"/>
      <c r="B19" s="62" t="s">
        <v>122</v>
      </c>
      <c r="C19" s="55">
        <f>'Base Case'!V9</f>
        <v>6.5250000000000002E-2</v>
      </c>
      <c r="D19" s="56">
        <f>'Best Case'!V9</f>
        <v>8.2874903744088485E-2</v>
      </c>
      <c r="E19" s="69">
        <f>'Worst Case'!V9</f>
        <v>4.6750037499999994E-2</v>
      </c>
    </row>
    <row r="20" spans="1:13" x14ac:dyDescent="0.35">
      <c r="A20" s="89"/>
      <c r="B20" s="62" t="s">
        <v>123</v>
      </c>
      <c r="C20" s="57">
        <f>'Base Case'!V11</f>
        <v>7.2576253003306807E-2</v>
      </c>
      <c r="D20" s="54">
        <f>'Best Case'!V11</f>
        <v>0.11999990152167184</v>
      </c>
      <c r="E20" s="69">
        <f>'Worst Case'!V11</f>
        <v>7.1250049999999995E-2</v>
      </c>
    </row>
    <row r="21" spans="1:13" x14ac:dyDescent="0.35">
      <c r="A21" s="89" t="s">
        <v>131</v>
      </c>
      <c r="B21" s="62" t="s">
        <v>124</v>
      </c>
      <c r="C21" s="49">
        <f ca="1">'Base Case'!M9</f>
        <v>560346.25311817625</v>
      </c>
      <c r="D21" s="48">
        <f ca="1">'Best Case'!L5</f>
        <v>1544067.8000567702</v>
      </c>
      <c r="E21" s="70">
        <f ca="1">'Worst Case'!L5</f>
        <v>361000.64169053489</v>
      </c>
    </row>
    <row r="22" spans="1:13" ht="15" thickBot="1" x14ac:dyDescent="0.4">
      <c r="A22" s="91"/>
      <c r="B22" s="63" t="s">
        <v>125</v>
      </c>
      <c r="C22" s="64">
        <f ca="1">C21-C9</f>
        <v>-894410.74688182375</v>
      </c>
      <c r="D22" s="65">
        <f ca="1">D21-C9</f>
        <v>89310.800056770211</v>
      </c>
      <c r="E22" s="71">
        <f ca="1">E21-C9</f>
        <v>-1093756.358309465</v>
      </c>
    </row>
    <row r="23" spans="1:13" x14ac:dyDescent="0.35">
      <c r="I23" t="s">
        <v>98</v>
      </c>
      <c r="K23" t="s">
        <v>99</v>
      </c>
      <c r="M23" t="s">
        <v>100</v>
      </c>
    </row>
  </sheetData>
  <mergeCells count="5">
    <mergeCell ref="A2:A6"/>
    <mergeCell ref="A7:A15"/>
    <mergeCell ref="A16:A20"/>
    <mergeCell ref="A21:A22"/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F9F1-7C4B-4EE0-8CC7-AAC8064C4268}">
  <dimension ref="D5:G8"/>
  <sheetViews>
    <sheetView workbookViewId="0">
      <selection activeCell="D5" sqref="D5:G8"/>
    </sheetView>
  </sheetViews>
  <sheetFormatPr defaultRowHeight="14.5" x14ac:dyDescent="0.35"/>
  <sheetData>
    <row r="5" spans="4:7" x14ac:dyDescent="0.35">
      <c r="D5" t="s">
        <v>69</v>
      </c>
      <c r="E5" s="58" t="s">
        <v>98</v>
      </c>
      <c r="F5" s="59" t="s">
        <v>99</v>
      </c>
      <c r="G5" s="66" t="s">
        <v>100</v>
      </c>
    </row>
    <row r="6" spans="4:7" x14ac:dyDescent="0.35">
      <c r="D6" s="62" t="s">
        <v>119</v>
      </c>
      <c r="E6" s="52">
        <v>0.4</v>
      </c>
      <c r="F6" s="54">
        <v>0.1</v>
      </c>
      <c r="G6" s="68">
        <v>0.8</v>
      </c>
    </row>
    <row r="7" spans="4:7" x14ac:dyDescent="0.35">
      <c r="D7" s="62" t="s">
        <v>120</v>
      </c>
      <c r="E7" s="52">
        <v>0.3</v>
      </c>
      <c r="F7" s="54">
        <v>0.35</v>
      </c>
      <c r="G7" s="68">
        <v>0.1</v>
      </c>
    </row>
    <row r="8" spans="4:7" x14ac:dyDescent="0.35">
      <c r="D8" s="62" t="s">
        <v>121</v>
      </c>
      <c r="E8" s="52">
        <v>0.3</v>
      </c>
      <c r="F8" s="54">
        <v>0.55000000000000004</v>
      </c>
      <c r="G8" s="68">
        <v>0.1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4907-A010-4098-8131-E1E7C71E4A59}">
  <dimension ref="C5:U1012"/>
  <sheetViews>
    <sheetView topLeftCell="A4" zoomScale="90" zoomScaleNormal="90" zoomScaleSheetLayoutView="100" workbookViewId="0">
      <selection activeCell="A8" sqref="A8"/>
    </sheetView>
  </sheetViews>
  <sheetFormatPr defaultRowHeight="14.5" x14ac:dyDescent="0.35"/>
  <cols>
    <col min="3" max="3" width="30.54296875" customWidth="1"/>
    <col min="5" max="5" width="22.81640625" customWidth="1"/>
    <col min="13" max="13" width="18.36328125" customWidth="1"/>
    <col min="18" max="18" width="10.1796875" bestFit="1" customWidth="1"/>
  </cols>
  <sheetData>
    <row r="5" spans="3:21" ht="17.5" x14ac:dyDescent="0.35">
      <c r="C5" s="26" t="s">
        <v>31</v>
      </c>
      <c r="S5" t="s">
        <v>50</v>
      </c>
      <c r="T5" s="16">
        <v>0.02</v>
      </c>
    </row>
    <row r="6" spans="3:21" x14ac:dyDescent="0.35">
      <c r="S6" t="s">
        <v>51</v>
      </c>
      <c r="T6">
        <v>0.02</v>
      </c>
    </row>
    <row r="7" spans="3:21" ht="29" x14ac:dyDescent="0.35">
      <c r="C7" s="27" t="s">
        <v>32</v>
      </c>
      <c r="D7" s="27" t="s">
        <v>33</v>
      </c>
      <c r="E7" s="27" t="s">
        <v>34</v>
      </c>
      <c r="S7" t="s">
        <v>25</v>
      </c>
      <c r="T7">
        <v>0.01</v>
      </c>
    </row>
    <row r="8" spans="3:21" x14ac:dyDescent="0.35">
      <c r="C8" s="28" t="s">
        <v>35</v>
      </c>
      <c r="D8" s="29">
        <v>2500</v>
      </c>
      <c r="E8" s="29">
        <f>D8*12</f>
        <v>30000</v>
      </c>
      <c r="H8" t="s">
        <v>53</v>
      </c>
      <c r="I8">
        <v>16000</v>
      </c>
      <c r="M8">
        <f>(1+0.0441)^-20</f>
        <v>0.42185003041198982</v>
      </c>
      <c r="O8">
        <v>4.41E-2</v>
      </c>
    </row>
    <row r="9" spans="3:21" x14ac:dyDescent="0.35">
      <c r="C9" s="28" t="s">
        <v>36</v>
      </c>
      <c r="D9" s="28">
        <v>500</v>
      </c>
      <c r="E9" s="29">
        <f t="shared" ref="E9:E11" si="0">D9*12</f>
        <v>6000</v>
      </c>
      <c r="M9">
        <f>M8/O8</f>
        <v>9.56576032680249</v>
      </c>
      <c r="S9" s="13">
        <f ca="1">_xlfn.NORM.INV(RAND(),T6,T7)</f>
        <v>1.3527337993070855E-2</v>
      </c>
    </row>
    <row r="10" spans="3:21" x14ac:dyDescent="0.35">
      <c r="C10" s="28" t="s">
        <v>37</v>
      </c>
      <c r="D10" s="29">
        <v>1000</v>
      </c>
      <c r="E10" s="29">
        <f t="shared" si="0"/>
        <v>12000</v>
      </c>
      <c r="M10" s="33">
        <f ca="1">M9*E16</f>
        <v>1010710.9403529405</v>
      </c>
    </row>
    <row r="11" spans="3:21" x14ac:dyDescent="0.35">
      <c r="C11" s="28" t="s">
        <v>38</v>
      </c>
      <c r="D11" s="28">
        <v>500</v>
      </c>
      <c r="E11" s="29">
        <f t="shared" si="0"/>
        <v>6000</v>
      </c>
    </row>
    <row r="12" spans="3:21" x14ac:dyDescent="0.35">
      <c r="C12" s="30" t="s">
        <v>39</v>
      </c>
      <c r="D12" s="31">
        <f>SUM(D8:D11)</f>
        <v>4500</v>
      </c>
      <c r="E12" s="31">
        <f>SUM(E8:E11)</f>
        <v>54000</v>
      </c>
      <c r="R12" t="s">
        <v>27</v>
      </c>
      <c r="S12" t="s">
        <v>6</v>
      </c>
    </row>
    <row r="13" spans="3:21" x14ac:dyDescent="0.35">
      <c r="R13">
        <v>1</v>
      </c>
      <c r="S13" s="14">
        <f ca="1">S9</f>
        <v>1.3527337993070855E-2</v>
      </c>
    </row>
    <row r="14" spans="3:21" x14ac:dyDescent="0.35">
      <c r="C14" s="28" t="s">
        <v>52</v>
      </c>
      <c r="E14" t="s">
        <v>48</v>
      </c>
      <c r="F14">
        <v>55</v>
      </c>
      <c r="G14" t="s">
        <v>40</v>
      </c>
      <c r="R14">
        <v>2</v>
      </c>
      <c r="S14" s="13">
        <f t="dataTable" ref="S14:S1012" dt2D="0" dtr="0" r1="V12" ca="1"/>
        <v>2.204113076174944E-2</v>
      </c>
      <c r="U14" s="14">
        <f ca="1">AVERAGE(S13:S1012)</f>
        <v>1.936322841218829E-2</v>
      </c>
    </row>
    <row r="15" spans="3:21" x14ac:dyDescent="0.35">
      <c r="C15" s="28" t="s">
        <v>41</v>
      </c>
      <c r="E15" t="s">
        <v>49</v>
      </c>
      <c r="R15">
        <v>3</v>
      </c>
      <c r="S15" s="13">
        <v>1.8414920550719107E-2</v>
      </c>
    </row>
    <row r="16" spans="3:21" x14ac:dyDescent="0.35">
      <c r="C16" s="24" t="s">
        <v>54</v>
      </c>
      <c r="D16" s="24"/>
      <c r="E16" s="32">
        <f ca="1">E12*(1+U14)^35</f>
        <v>105659.23730296794</v>
      </c>
      <c r="G16" t="s">
        <v>42</v>
      </c>
      <c r="R16">
        <v>4</v>
      </c>
      <c r="S16" s="13">
        <v>2.5568353871183364E-2</v>
      </c>
    </row>
    <row r="17" spans="3:19" x14ac:dyDescent="0.35">
      <c r="R17">
        <v>5</v>
      </c>
      <c r="S17" s="13">
        <v>3.0965664442555156E-2</v>
      </c>
    </row>
    <row r="18" spans="3:19" x14ac:dyDescent="0.35">
      <c r="E18" s="33"/>
      <c r="R18">
        <v>6</v>
      </c>
      <c r="S18" s="13">
        <v>2.4035462429121166E-2</v>
      </c>
    </row>
    <row r="19" spans="3:19" x14ac:dyDescent="0.35">
      <c r="R19">
        <v>7</v>
      </c>
      <c r="S19" s="13">
        <v>1.901068818862214E-2</v>
      </c>
    </row>
    <row r="20" spans="3:19" x14ac:dyDescent="0.35">
      <c r="C20" t="s">
        <v>43</v>
      </c>
      <c r="E20" s="34"/>
      <c r="F20" s="36"/>
      <c r="G20" s="36"/>
      <c r="H20" s="36"/>
      <c r="I20" s="36"/>
      <c r="R20">
        <v>8</v>
      </c>
      <c r="S20" s="13">
        <v>3.4169338336681919E-2</v>
      </c>
    </row>
    <row r="21" spans="3:19" x14ac:dyDescent="0.35">
      <c r="R21">
        <v>9</v>
      </c>
      <c r="S21" s="13">
        <v>2.4828073105829081E-2</v>
      </c>
    </row>
    <row r="22" spans="3:19" x14ac:dyDescent="0.35">
      <c r="R22">
        <v>10</v>
      </c>
      <c r="S22" s="13">
        <v>1.1888658041060825E-2</v>
      </c>
    </row>
    <row r="23" spans="3:19" x14ac:dyDescent="0.35">
      <c r="C23" t="s">
        <v>55</v>
      </c>
      <c r="R23">
        <v>11</v>
      </c>
      <c r="S23" s="13">
        <v>9.7227095583839428E-3</v>
      </c>
    </row>
    <row r="24" spans="3:19" x14ac:dyDescent="0.35">
      <c r="C24" s="35"/>
      <c r="R24">
        <v>12</v>
      </c>
      <c r="S24" s="13">
        <v>1.9600645861848377E-3</v>
      </c>
    </row>
    <row r="25" spans="3:19" x14ac:dyDescent="0.35">
      <c r="C25" s="35" t="s">
        <v>44</v>
      </c>
      <c r="R25">
        <v>13</v>
      </c>
      <c r="S25" s="13">
        <v>2.4350267065295351E-2</v>
      </c>
    </row>
    <row r="26" spans="3:19" x14ac:dyDescent="0.35">
      <c r="C26" s="35" t="s">
        <v>56</v>
      </c>
      <c r="R26">
        <v>14</v>
      </c>
      <c r="S26" s="13">
        <v>2.6998926552683544E-2</v>
      </c>
    </row>
    <row r="27" spans="3:19" x14ac:dyDescent="0.35">
      <c r="C27" s="37" t="s">
        <v>45</v>
      </c>
      <c r="D27" s="36"/>
      <c r="E27" s="38">
        <v>1454757</v>
      </c>
      <c r="F27" t="s">
        <v>57</v>
      </c>
      <c r="R27">
        <v>15</v>
      </c>
      <c r="S27" s="13">
        <v>3.0164306085951501E-2</v>
      </c>
    </row>
    <row r="28" spans="3:19" x14ac:dyDescent="0.35">
      <c r="R28">
        <v>16</v>
      </c>
      <c r="S28" s="13">
        <v>7.8301876331984717E-3</v>
      </c>
    </row>
    <row r="29" spans="3:19" x14ac:dyDescent="0.35">
      <c r="R29">
        <v>17</v>
      </c>
      <c r="S29" s="13">
        <v>9.0929479764223879E-3</v>
      </c>
    </row>
    <row r="30" spans="3:19" x14ac:dyDescent="0.35">
      <c r="R30">
        <v>18</v>
      </c>
      <c r="S30" s="13">
        <v>6.3292395563550614E-3</v>
      </c>
    </row>
    <row r="31" spans="3:19" x14ac:dyDescent="0.35">
      <c r="R31">
        <v>19</v>
      </c>
      <c r="S31" s="13">
        <v>1.8620823711477979E-2</v>
      </c>
    </row>
    <row r="32" spans="3:19" x14ac:dyDescent="0.35">
      <c r="R32">
        <v>20</v>
      </c>
      <c r="S32" s="13">
        <v>2.1421085722889081E-2</v>
      </c>
    </row>
    <row r="33" spans="18:19" x14ac:dyDescent="0.35">
      <c r="R33">
        <v>21</v>
      </c>
      <c r="S33" s="13">
        <v>2.5794051712280774E-2</v>
      </c>
    </row>
    <row r="34" spans="18:19" x14ac:dyDescent="0.35">
      <c r="R34">
        <v>22</v>
      </c>
      <c r="S34" s="13">
        <v>8.6142292666024165E-3</v>
      </c>
    </row>
    <row r="35" spans="18:19" x14ac:dyDescent="0.35">
      <c r="R35">
        <v>23</v>
      </c>
      <c r="S35" s="13">
        <v>2.5686114805427124E-2</v>
      </c>
    </row>
    <row r="36" spans="18:19" x14ac:dyDescent="0.35">
      <c r="R36">
        <v>24</v>
      </c>
      <c r="S36" s="13">
        <v>7.1059429770625147E-3</v>
      </c>
    </row>
    <row r="37" spans="18:19" x14ac:dyDescent="0.35">
      <c r="R37">
        <v>25</v>
      </c>
      <c r="S37" s="13">
        <v>2.1130283456279372E-2</v>
      </c>
    </row>
    <row r="38" spans="18:19" x14ac:dyDescent="0.35">
      <c r="R38">
        <v>26</v>
      </c>
      <c r="S38" s="13">
        <v>3.2358256830584853E-2</v>
      </c>
    </row>
    <row r="39" spans="18:19" x14ac:dyDescent="0.35">
      <c r="R39">
        <v>27</v>
      </c>
      <c r="S39" s="13">
        <v>3.7650900016021172E-2</v>
      </c>
    </row>
    <row r="40" spans="18:19" x14ac:dyDescent="0.35">
      <c r="R40">
        <v>28</v>
      </c>
      <c r="S40" s="13">
        <v>1.6391405841019044E-2</v>
      </c>
    </row>
    <row r="41" spans="18:19" x14ac:dyDescent="0.35">
      <c r="R41">
        <v>29</v>
      </c>
      <c r="S41" s="13">
        <v>2.8949929239608582E-2</v>
      </c>
    </row>
    <row r="42" spans="18:19" x14ac:dyDescent="0.35">
      <c r="R42">
        <v>30</v>
      </c>
      <c r="S42" s="13">
        <v>1.7674163050535228E-2</v>
      </c>
    </row>
    <row r="43" spans="18:19" x14ac:dyDescent="0.35">
      <c r="R43">
        <v>31</v>
      </c>
      <c r="S43" s="13">
        <v>1.7638765698310199E-2</v>
      </c>
    </row>
    <row r="44" spans="18:19" x14ac:dyDescent="0.35">
      <c r="R44">
        <v>32</v>
      </c>
      <c r="S44" s="13">
        <v>3.5695260291974382E-2</v>
      </c>
    </row>
    <row r="45" spans="18:19" x14ac:dyDescent="0.35">
      <c r="R45">
        <v>33</v>
      </c>
      <c r="S45" s="13">
        <v>2.5037585583190733E-2</v>
      </c>
    </row>
    <row r="46" spans="18:19" x14ac:dyDescent="0.35">
      <c r="R46">
        <v>34</v>
      </c>
      <c r="S46" s="13">
        <v>2.0259172177213503E-2</v>
      </c>
    </row>
    <row r="47" spans="18:19" x14ac:dyDescent="0.35">
      <c r="R47">
        <v>35</v>
      </c>
      <c r="S47" s="13">
        <v>1.4097113674907458E-2</v>
      </c>
    </row>
    <row r="48" spans="18:19" x14ac:dyDescent="0.35">
      <c r="R48">
        <v>36</v>
      </c>
      <c r="S48" s="13">
        <v>2.4502507416744396E-2</v>
      </c>
    </row>
    <row r="49" spans="18:19" x14ac:dyDescent="0.35">
      <c r="R49">
        <v>37</v>
      </c>
      <c r="S49" s="13">
        <v>1.4834054640344053E-2</v>
      </c>
    </row>
    <row r="50" spans="18:19" x14ac:dyDescent="0.35">
      <c r="R50">
        <v>38</v>
      </c>
      <c r="S50" s="13">
        <v>1.1994056054680494E-2</v>
      </c>
    </row>
    <row r="51" spans="18:19" x14ac:dyDescent="0.35">
      <c r="R51">
        <v>39</v>
      </c>
      <c r="S51" s="13">
        <v>1.6161487277484163E-2</v>
      </c>
    </row>
    <row r="52" spans="18:19" x14ac:dyDescent="0.35">
      <c r="R52">
        <v>40</v>
      </c>
      <c r="S52" s="13">
        <v>8.1270093802690534E-3</v>
      </c>
    </row>
    <row r="53" spans="18:19" x14ac:dyDescent="0.35">
      <c r="R53">
        <v>41</v>
      </c>
      <c r="S53" s="13">
        <v>2.0478674747812602E-2</v>
      </c>
    </row>
    <row r="54" spans="18:19" x14ac:dyDescent="0.35">
      <c r="R54">
        <v>42</v>
      </c>
      <c r="S54" s="13">
        <v>1.5745041284033416E-2</v>
      </c>
    </row>
    <row r="55" spans="18:19" x14ac:dyDescent="0.35">
      <c r="R55">
        <v>43</v>
      </c>
      <c r="S55" s="13">
        <v>1.257814732884764E-2</v>
      </c>
    </row>
    <row r="56" spans="18:19" x14ac:dyDescent="0.35">
      <c r="R56">
        <v>44</v>
      </c>
      <c r="S56" s="13">
        <v>2.109210719829905E-2</v>
      </c>
    </row>
    <row r="57" spans="18:19" x14ac:dyDescent="0.35">
      <c r="R57">
        <v>45</v>
      </c>
      <c r="S57" s="13">
        <v>1.5932863082173877E-2</v>
      </c>
    </row>
    <row r="58" spans="18:19" x14ac:dyDescent="0.35">
      <c r="R58">
        <v>46</v>
      </c>
      <c r="S58" s="13">
        <v>2.8851154235832711E-2</v>
      </c>
    </row>
    <row r="59" spans="18:19" x14ac:dyDescent="0.35">
      <c r="R59">
        <v>47</v>
      </c>
      <c r="S59" s="13">
        <v>1.071139070906166E-2</v>
      </c>
    </row>
    <row r="60" spans="18:19" x14ac:dyDescent="0.35">
      <c r="R60">
        <v>48</v>
      </c>
      <c r="S60" s="13">
        <v>3.2943632800078462E-2</v>
      </c>
    </row>
    <row r="61" spans="18:19" x14ac:dyDescent="0.35">
      <c r="R61">
        <v>49</v>
      </c>
      <c r="S61" s="13">
        <v>8.1792596292427442E-3</v>
      </c>
    </row>
    <row r="62" spans="18:19" x14ac:dyDescent="0.35">
      <c r="R62">
        <v>50</v>
      </c>
      <c r="S62" s="13">
        <v>1.4492306623571267E-3</v>
      </c>
    </row>
    <row r="63" spans="18:19" x14ac:dyDescent="0.35">
      <c r="R63">
        <v>51</v>
      </c>
      <c r="S63" s="13">
        <v>1.4121522625504937E-2</v>
      </c>
    </row>
    <row r="64" spans="18:19" x14ac:dyDescent="0.35">
      <c r="R64">
        <v>52</v>
      </c>
      <c r="S64" s="13">
        <v>2.1923702651386906E-2</v>
      </c>
    </row>
    <row r="65" spans="18:19" x14ac:dyDescent="0.35">
      <c r="R65">
        <v>53</v>
      </c>
      <c r="S65" s="13">
        <v>3.8514990053124545E-2</v>
      </c>
    </row>
    <row r="66" spans="18:19" x14ac:dyDescent="0.35">
      <c r="R66">
        <v>54</v>
      </c>
      <c r="S66" s="13">
        <v>3.2689719499493085E-2</v>
      </c>
    </row>
    <row r="67" spans="18:19" x14ac:dyDescent="0.35">
      <c r="R67">
        <v>55</v>
      </c>
      <c r="S67" s="13">
        <v>1.1335170210981634E-2</v>
      </c>
    </row>
    <row r="68" spans="18:19" x14ac:dyDescent="0.35">
      <c r="R68">
        <v>56</v>
      </c>
      <c r="S68" s="13">
        <v>3.1863959490990149E-2</v>
      </c>
    </row>
    <row r="69" spans="18:19" x14ac:dyDescent="0.35">
      <c r="R69">
        <v>57</v>
      </c>
      <c r="S69" s="13">
        <v>9.3130610483716601E-3</v>
      </c>
    </row>
    <row r="70" spans="18:19" x14ac:dyDescent="0.35">
      <c r="R70">
        <v>58</v>
      </c>
      <c r="S70" s="13">
        <v>2.0249680923293153E-2</v>
      </c>
    </row>
    <row r="71" spans="18:19" x14ac:dyDescent="0.35">
      <c r="R71">
        <v>59</v>
      </c>
      <c r="S71" s="13">
        <v>1.8967969691714014E-2</v>
      </c>
    </row>
    <row r="72" spans="18:19" x14ac:dyDescent="0.35">
      <c r="R72">
        <v>60</v>
      </c>
      <c r="S72" s="13">
        <v>2.463793542019144E-2</v>
      </c>
    </row>
    <row r="73" spans="18:19" x14ac:dyDescent="0.35">
      <c r="R73">
        <v>61</v>
      </c>
      <c r="S73" s="13">
        <v>2.7471704675751142E-2</v>
      </c>
    </row>
    <row r="74" spans="18:19" x14ac:dyDescent="0.35">
      <c r="R74">
        <v>62</v>
      </c>
      <c r="S74" s="13">
        <v>2.5023831766939147E-2</v>
      </c>
    </row>
    <row r="75" spans="18:19" x14ac:dyDescent="0.35">
      <c r="R75">
        <v>63</v>
      </c>
      <c r="S75" s="13">
        <v>1.1821805199795976E-2</v>
      </c>
    </row>
    <row r="76" spans="18:19" x14ac:dyDescent="0.35">
      <c r="R76">
        <v>64</v>
      </c>
      <c r="S76" s="13">
        <v>2.7956989489632031E-2</v>
      </c>
    </row>
    <row r="77" spans="18:19" x14ac:dyDescent="0.35">
      <c r="R77">
        <v>65</v>
      </c>
      <c r="S77" s="13">
        <v>1.1323244948234537E-2</v>
      </c>
    </row>
    <row r="78" spans="18:19" x14ac:dyDescent="0.35">
      <c r="R78">
        <v>66</v>
      </c>
      <c r="S78" s="13">
        <v>3.1702893671850883E-2</v>
      </c>
    </row>
    <row r="79" spans="18:19" x14ac:dyDescent="0.35">
      <c r="R79">
        <v>67</v>
      </c>
      <c r="S79" s="13">
        <v>2.3081711990114311E-2</v>
      </c>
    </row>
    <row r="80" spans="18:19" x14ac:dyDescent="0.35">
      <c r="R80">
        <v>68</v>
      </c>
      <c r="S80" s="13">
        <v>1.6694504431851949E-2</v>
      </c>
    </row>
    <row r="81" spans="18:19" x14ac:dyDescent="0.35">
      <c r="R81">
        <v>69</v>
      </c>
      <c r="S81" s="13">
        <v>1.2710506073414993E-2</v>
      </c>
    </row>
    <row r="82" spans="18:19" x14ac:dyDescent="0.35">
      <c r="R82">
        <v>70</v>
      </c>
      <c r="S82" s="13">
        <v>2.0752506349791776E-2</v>
      </c>
    </row>
    <row r="83" spans="18:19" x14ac:dyDescent="0.35">
      <c r="R83">
        <v>71</v>
      </c>
      <c r="S83" s="13">
        <v>3.4673716973149818E-2</v>
      </c>
    </row>
    <row r="84" spans="18:19" x14ac:dyDescent="0.35">
      <c r="R84">
        <v>72</v>
      </c>
      <c r="S84" s="13">
        <v>2.0489815800737752E-2</v>
      </c>
    </row>
    <row r="85" spans="18:19" x14ac:dyDescent="0.35">
      <c r="R85">
        <v>73</v>
      </c>
      <c r="S85" s="13">
        <v>1.5780147907043632E-2</v>
      </c>
    </row>
    <row r="86" spans="18:19" x14ac:dyDescent="0.35">
      <c r="R86">
        <v>74</v>
      </c>
      <c r="S86" s="13">
        <v>1.9662937760051361E-4</v>
      </c>
    </row>
    <row r="87" spans="18:19" x14ac:dyDescent="0.35">
      <c r="R87">
        <v>75</v>
      </c>
      <c r="S87" s="13">
        <v>2.5881675469888812E-2</v>
      </c>
    </row>
    <row r="88" spans="18:19" x14ac:dyDescent="0.35">
      <c r="R88">
        <v>76</v>
      </c>
      <c r="S88" s="13">
        <v>1.1910292894266816E-2</v>
      </c>
    </row>
    <row r="89" spans="18:19" x14ac:dyDescent="0.35">
      <c r="R89">
        <v>77</v>
      </c>
      <c r="S89" s="13">
        <v>2.3000805076034414E-2</v>
      </c>
    </row>
    <row r="90" spans="18:19" x14ac:dyDescent="0.35">
      <c r="R90">
        <v>78</v>
      </c>
      <c r="S90" s="13">
        <v>1.2104774157076444E-2</v>
      </c>
    </row>
    <row r="91" spans="18:19" x14ac:dyDescent="0.35">
      <c r="R91">
        <v>79</v>
      </c>
      <c r="S91" s="13">
        <v>2.5790297751231268E-2</v>
      </c>
    </row>
    <row r="92" spans="18:19" x14ac:dyDescent="0.35">
      <c r="R92">
        <v>80</v>
      </c>
      <c r="S92" s="13">
        <v>1.8918274372639092E-2</v>
      </c>
    </row>
    <row r="93" spans="18:19" x14ac:dyDescent="0.35">
      <c r="R93">
        <v>81</v>
      </c>
      <c r="S93" s="13">
        <v>1.6454015169544839E-3</v>
      </c>
    </row>
    <row r="94" spans="18:19" x14ac:dyDescent="0.35">
      <c r="R94">
        <v>82</v>
      </c>
      <c r="S94" s="13">
        <v>3.0644273774622977E-2</v>
      </c>
    </row>
    <row r="95" spans="18:19" x14ac:dyDescent="0.35">
      <c r="R95">
        <v>83</v>
      </c>
      <c r="S95" s="13">
        <v>1.5909331028040326E-2</v>
      </c>
    </row>
    <row r="96" spans="18:19" x14ac:dyDescent="0.35">
      <c r="R96">
        <v>84</v>
      </c>
      <c r="S96" s="13">
        <v>1.6930021095425293E-2</v>
      </c>
    </row>
    <row r="97" spans="18:19" x14ac:dyDescent="0.35">
      <c r="R97">
        <v>85</v>
      </c>
      <c r="S97" s="13">
        <v>1.7963551704036958E-2</v>
      </c>
    </row>
    <row r="98" spans="18:19" x14ac:dyDescent="0.35">
      <c r="R98">
        <v>86</v>
      </c>
      <c r="S98" s="13">
        <v>5.6853807779315476E-3</v>
      </c>
    </row>
    <row r="99" spans="18:19" x14ac:dyDescent="0.35">
      <c r="R99">
        <v>87</v>
      </c>
      <c r="S99" s="13">
        <v>2.0155455788785966E-2</v>
      </c>
    </row>
    <row r="100" spans="18:19" x14ac:dyDescent="0.35">
      <c r="R100">
        <v>88</v>
      </c>
      <c r="S100" s="13">
        <v>1.1311550665890877E-2</v>
      </c>
    </row>
    <row r="101" spans="18:19" x14ac:dyDescent="0.35">
      <c r="R101">
        <v>89</v>
      </c>
      <c r="S101" s="13">
        <v>2.6224695509083469E-2</v>
      </c>
    </row>
    <row r="102" spans="18:19" x14ac:dyDescent="0.35">
      <c r="R102">
        <v>90</v>
      </c>
      <c r="S102" s="13">
        <v>9.3504587762722521E-3</v>
      </c>
    </row>
    <row r="103" spans="18:19" x14ac:dyDescent="0.35">
      <c r="R103">
        <v>91</v>
      </c>
      <c r="S103" s="13">
        <v>1.2467451539972505E-2</v>
      </c>
    </row>
    <row r="104" spans="18:19" x14ac:dyDescent="0.35">
      <c r="R104">
        <v>92</v>
      </c>
      <c r="S104" s="13">
        <v>-4.0452999192493871E-4</v>
      </c>
    </row>
    <row r="105" spans="18:19" x14ac:dyDescent="0.35">
      <c r="R105">
        <v>93</v>
      </c>
      <c r="S105" s="13">
        <v>3.0561410468349565E-2</v>
      </c>
    </row>
    <row r="106" spans="18:19" x14ac:dyDescent="0.35">
      <c r="R106">
        <v>94</v>
      </c>
      <c r="S106" s="13">
        <v>2.8718751377632516E-2</v>
      </c>
    </row>
    <row r="107" spans="18:19" x14ac:dyDescent="0.35">
      <c r="R107">
        <v>95</v>
      </c>
      <c r="S107" s="13">
        <v>4.5365170976191665E-3</v>
      </c>
    </row>
    <row r="108" spans="18:19" x14ac:dyDescent="0.35">
      <c r="R108">
        <v>96</v>
      </c>
      <c r="S108" s="13">
        <v>1.5973732082432267E-2</v>
      </c>
    </row>
    <row r="109" spans="18:19" x14ac:dyDescent="0.35">
      <c r="R109">
        <v>97</v>
      </c>
      <c r="S109" s="13">
        <v>3.0337610900055913E-2</v>
      </c>
    </row>
    <row r="110" spans="18:19" x14ac:dyDescent="0.35">
      <c r="R110">
        <v>98</v>
      </c>
      <c r="S110" s="13">
        <v>6.6731946139269808E-3</v>
      </c>
    </row>
    <row r="111" spans="18:19" x14ac:dyDescent="0.35">
      <c r="R111">
        <v>99</v>
      </c>
      <c r="S111" s="13">
        <v>5.3789505017015887E-3</v>
      </c>
    </row>
    <row r="112" spans="18:19" x14ac:dyDescent="0.35">
      <c r="R112">
        <v>100</v>
      </c>
      <c r="S112" s="13">
        <v>5.9066802235251802E-3</v>
      </c>
    </row>
    <row r="113" spans="18:19" x14ac:dyDescent="0.35">
      <c r="R113">
        <v>101</v>
      </c>
      <c r="S113" s="13">
        <v>2.8540829672222687E-2</v>
      </c>
    </row>
    <row r="114" spans="18:19" x14ac:dyDescent="0.35">
      <c r="R114">
        <v>102</v>
      </c>
      <c r="S114" s="13">
        <v>1.4682474392203063E-2</v>
      </c>
    </row>
    <row r="115" spans="18:19" x14ac:dyDescent="0.35">
      <c r="R115">
        <v>103</v>
      </c>
      <c r="S115" s="13">
        <v>2.7205503857708348E-2</v>
      </c>
    </row>
    <row r="116" spans="18:19" x14ac:dyDescent="0.35">
      <c r="R116">
        <v>104</v>
      </c>
      <c r="S116" s="13">
        <v>1.6711071196380916E-2</v>
      </c>
    </row>
    <row r="117" spans="18:19" x14ac:dyDescent="0.35">
      <c r="R117">
        <v>105</v>
      </c>
      <c r="S117" s="13">
        <v>8.1126903776405634E-3</v>
      </c>
    </row>
    <row r="118" spans="18:19" x14ac:dyDescent="0.35">
      <c r="R118">
        <v>106</v>
      </c>
      <c r="S118" s="13">
        <v>1.7621644058824749E-2</v>
      </c>
    </row>
    <row r="119" spans="18:19" x14ac:dyDescent="0.35">
      <c r="R119">
        <v>107</v>
      </c>
      <c r="S119" s="13">
        <v>1.0133619329149359E-2</v>
      </c>
    </row>
    <row r="120" spans="18:19" x14ac:dyDescent="0.35">
      <c r="R120">
        <v>108</v>
      </c>
      <c r="S120" s="13">
        <v>1.1936337704333878E-2</v>
      </c>
    </row>
    <row r="121" spans="18:19" x14ac:dyDescent="0.35">
      <c r="R121">
        <v>109</v>
      </c>
      <c r="S121" s="13">
        <v>2.818050312634339E-2</v>
      </c>
    </row>
    <row r="122" spans="18:19" x14ac:dyDescent="0.35">
      <c r="R122">
        <v>110</v>
      </c>
      <c r="S122" s="13">
        <v>3.0970291682836777E-2</v>
      </c>
    </row>
    <row r="123" spans="18:19" x14ac:dyDescent="0.35">
      <c r="R123">
        <v>111</v>
      </c>
      <c r="S123" s="13">
        <v>2.1171529367765427E-2</v>
      </c>
    </row>
    <row r="124" spans="18:19" x14ac:dyDescent="0.35">
      <c r="R124">
        <v>112</v>
      </c>
      <c r="S124" s="13">
        <v>1.836888711436201E-2</v>
      </c>
    </row>
    <row r="125" spans="18:19" x14ac:dyDescent="0.35">
      <c r="R125">
        <v>113</v>
      </c>
      <c r="S125" s="13">
        <v>1.1598632478963629E-2</v>
      </c>
    </row>
    <row r="126" spans="18:19" x14ac:dyDescent="0.35">
      <c r="R126">
        <v>114</v>
      </c>
      <c r="S126" s="13">
        <v>7.9163002001557056E-3</v>
      </c>
    </row>
    <row r="127" spans="18:19" x14ac:dyDescent="0.35">
      <c r="R127">
        <v>115</v>
      </c>
      <c r="S127" s="13">
        <v>6.0007085002847394E-3</v>
      </c>
    </row>
    <row r="128" spans="18:19" x14ac:dyDescent="0.35">
      <c r="R128">
        <v>116</v>
      </c>
      <c r="S128" s="13">
        <v>2.1641667728878228E-2</v>
      </c>
    </row>
    <row r="129" spans="18:19" x14ac:dyDescent="0.35">
      <c r="R129">
        <v>117</v>
      </c>
      <c r="S129" s="13">
        <v>3.1764354609726222E-2</v>
      </c>
    </row>
    <row r="130" spans="18:19" x14ac:dyDescent="0.35">
      <c r="R130">
        <v>118</v>
      </c>
      <c r="S130" s="13">
        <v>1.2423607110540857E-2</v>
      </c>
    </row>
    <row r="131" spans="18:19" x14ac:dyDescent="0.35">
      <c r="R131">
        <v>119</v>
      </c>
      <c r="S131" s="13">
        <v>2.3167153480598099E-2</v>
      </c>
    </row>
    <row r="132" spans="18:19" x14ac:dyDescent="0.35">
      <c r="R132">
        <v>120</v>
      </c>
      <c r="S132" s="13">
        <v>2.9552012992146777E-2</v>
      </c>
    </row>
    <row r="133" spans="18:19" x14ac:dyDescent="0.35">
      <c r="R133">
        <v>121</v>
      </c>
      <c r="S133" s="13">
        <v>3.1624741660307563E-2</v>
      </c>
    </row>
    <row r="134" spans="18:19" x14ac:dyDescent="0.35">
      <c r="R134">
        <v>122</v>
      </c>
      <c r="S134" s="13">
        <v>3.1779580332867749E-2</v>
      </c>
    </row>
    <row r="135" spans="18:19" x14ac:dyDescent="0.35">
      <c r="R135">
        <v>123</v>
      </c>
      <c r="S135" s="13">
        <v>2.9384065752768182E-2</v>
      </c>
    </row>
    <row r="136" spans="18:19" x14ac:dyDescent="0.35">
      <c r="R136">
        <v>124</v>
      </c>
      <c r="S136" s="13">
        <v>2.4439082914365223E-2</v>
      </c>
    </row>
    <row r="137" spans="18:19" x14ac:dyDescent="0.35">
      <c r="R137">
        <v>125</v>
      </c>
      <c r="S137" s="13">
        <v>1.5132993564347703E-2</v>
      </c>
    </row>
    <row r="138" spans="18:19" x14ac:dyDescent="0.35">
      <c r="R138">
        <v>126</v>
      </c>
      <c r="S138" s="13">
        <v>3.5603830466412661E-2</v>
      </c>
    </row>
    <row r="139" spans="18:19" x14ac:dyDescent="0.35">
      <c r="R139">
        <v>127</v>
      </c>
      <c r="S139" s="13">
        <v>9.3730810511648849E-3</v>
      </c>
    </row>
    <row r="140" spans="18:19" x14ac:dyDescent="0.35">
      <c r="R140">
        <v>128</v>
      </c>
      <c r="S140" s="13">
        <v>-2.7663867829804574E-3</v>
      </c>
    </row>
    <row r="141" spans="18:19" x14ac:dyDescent="0.35">
      <c r="R141">
        <v>129</v>
      </c>
      <c r="S141" s="13">
        <v>1.6780620773961516E-2</v>
      </c>
    </row>
    <row r="142" spans="18:19" x14ac:dyDescent="0.35">
      <c r="R142">
        <v>130</v>
      </c>
      <c r="S142" s="13">
        <v>1.7073702935821881E-2</v>
      </c>
    </row>
    <row r="143" spans="18:19" x14ac:dyDescent="0.35">
      <c r="R143">
        <v>131</v>
      </c>
      <c r="S143" s="13">
        <v>2.7326328375966758E-2</v>
      </c>
    </row>
    <row r="144" spans="18:19" x14ac:dyDescent="0.35">
      <c r="R144">
        <v>132</v>
      </c>
      <c r="S144" s="13">
        <v>1.9342113613393764E-2</v>
      </c>
    </row>
    <row r="145" spans="18:19" x14ac:dyDescent="0.35">
      <c r="R145">
        <v>133</v>
      </c>
      <c r="S145" s="13">
        <v>1.9878144081527417E-2</v>
      </c>
    </row>
    <row r="146" spans="18:19" x14ac:dyDescent="0.35">
      <c r="R146">
        <v>134</v>
      </c>
      <c r="S146" s="13">
        <v>2.4220484780949625E-2</v>
      </c>
    </row>
    <row r="147" spans="18:19" x14ac:dyDescent="0.35">
      <c r="R147">
        <v>135</v>
      </c>
      <c r="S147" s="13">
        <v>5.2501306992515408E-3</v>
      </c>
    </row>
    <row r="148" spans="18:19" x14ac:dyDescent="0.35">
      <c r="R148">
        <v>136</v>
      </c>
      <c r="S148" s="13">
        <v>3.1843900991401504E-2</v>
      </c>
    </row>
    <row r="149" spans="18:19" x14ac:dyDescent="0.35">
      <c r="R149">
        <v>137</v>
      </c>
      <c r="S149" s="13">
        <v>1.959946719613374E-2</v>
      </c>
    </row>
    <row r="150" spans="18:19" x14ac:dyDescent="0.35">
      <c r="R150">
        <v>138</v>
      </c>
      <c r="S150" s="13">
        <v>1.4234547926381246E-2</v>
      </c>
    </row>
    <row r="151" spans="18:19" x14ac:dyDescent="0.35">
      <c r="R151">
        <v>139</v>
      </c>
      <c r="S151" s="13">
        <v>2.6515366894763095E-2</v>
      </c>
    </row>
    <row r="152" spans="18:19" x14ac:dyDescent="0.35">
      <c r="R152">
        <v>140</v>
      </c>
      <c r="S152" s="13">
        <v>6.7269655424424916E-3</v>
      </c>
    </row>
    <row r="153" spans="18:19" x14ac:dyDescent="0.35">
      <c r="R153">
        <v>141</v>
      </c>
      <c r="S153" s="13">
        <v>2.1470770351198602E-2</v>
      </c>
    </row>
    <row r="154" spans="18:19" x14ac:dyDescent="0.35">
      <c r="R154">
        <v>142</v>
      </c>
      <c r="S154" s="13">
        <v>1.8427316412258744E-2</v>
      </c>
    </row>
    <row r="155" spans="18:19" x14ac:dyDescent="0.35">
      <c r="R155">
        <v>143</v>
      </c>
      <c r="S155" s="13">
        <v>2.8647331660428876E-2</v>
      </c>
    </row>
    <row r="156" spans="18:19" x14ac:dyDescent="0.35">
      <c r="R156">
        <v>144</v>
      </c>
      <c r="S156" s="13">
        <v>1.3713799837519573E-2</v>
      </c>
    </row>
    <row r="157" spans="18:19" x14ac:dyDescent="0.35">
      <c r="R157">
        <v>145</v>
      </c>
      <c r="S157" s="13">
        <v>1.1873185115988137E-2</v>
      </c>
    </row>
    <row r="158" spans="18:19" x14ac:dyDescent="0.35">
      <c r="R158">
        <v>146</v>
      </c>
      <c r="S158" s="13">
        <v>1.6506247972155389E-2</v>
      </c>
    </row>
    <row r="159" spans="18:19" x14ac:dyDescent="0.35">
      <c r="R159">
        <v>147</v>
      </c>
      <c r="S159" s="13">
        <v>3.16299351701032E-2</v>
      </c>
    </row>
    <row r="160" spans="18:19" x14ac:dyDescent="0.35">
      <c r="R160">
        <v>148</v>
      </c>
      <c r="S160" s="13">
        <v>2.9293895375252871E-2</v>
      </c>
    </row>
    <row r="161" spans="18:19" x14ac:dyDescent="0.35">
      <c r="R161">
        <v>149</v>
      </c>
      <c r="S161" s="13">
        <v>3.1619257888871509E-2</v>
      </c>
    </row>
    <row r="162" spans="18:19" x14ac:dyDescent="0.35">
      <c r="R162">
        <v>150</v>
      </c>
      <c r="S162" s="13">
        <v>2.7997267456397423E-2</v>
      </c>
    </row>
    <row r="163" spans="18:19" x14ac:dyDescent="0.35">
      <c r="R163">
        <v>151</v>
      </c>
      <c r="S163" s="13">
        <v>1.3318284327314987E-2</v>
      </c>
    </row>
    <row r="164" spans="18:19" x14ac:dyDescent="0.35">
      <c r="R164">
        <v>152</v>
      </c>
      <c r="S164" s="13">
        <v>2.9645948050102948E-2</v>
      </c>
    </row>
    <row r="165" spans="18:19" x14ac:dyDescent="0.35">
      <c r="R165">
        <v>153</v>
      </c>
      <c r="S165" s="13">
        <v>2.3011734109051919E-2</v>
      </c>
    </row>
    <row r="166" spans="18:19" x14ac:dyDescent="0.35">
      <c r="R166">
        <v>154</v>
      </c>
      <c r="S166" s="13">
        <v>2.2050736300457875E-2</v>
      </c>
    </row>
    <row r="167" spans="18:19" x14ac:dyDescent="0.35">
      <c r="R167">
        <v>155</v>
      </c>
      <c r="S167" s="13">
        <v>1.3049825237093101E-2</v>
      </c>
    </row>
    <row r="168" spans="18:19" x14ac:dyDescent="0.35">
      <c r="R168">
        <v>156</v>
      </c>
      <c r="S168" s="13">
        <v>1.0168144593435235E-2</v>
      </c>
    </row>
    <row r="169" spans="18:19" x14ac:dyDescent="0.35">
      <c r="R169">
        <v>157</v>
      </c>
      <c r="S169" s="13">
        <v>2.3324930515742616E-2</v>
      </c>
    </row>
    <row r="170" spans="18:19" x14ac:dyDescent="0.35">
      <c r="R170">
        <v>158</v>
      </c>
      <c r="S170" s="13">
        <v>2.6748015543258237E-2</v>
      </c>
    </row>
    <row r="171" spans="18:19" x14ac:dyDescent="0.35">
      <c r="R171">
        <v>159</v>
      </c>
      <c r="S171" s="13">
        <v>2.4027299856139921E-2</v>
      </c>
    </row>
    <row r="172" spans="18:19" x14ac:dyDescent="0.35">
      <c r="R172">
        <v>160</v>
      </c>
      <c r="S172" s="13">
        <v>1.4141217331543242E-2</v>
      </c>
    </row>
    <row r="173" spans="18:19" x14ac:dyDescent="0.35">
      <c r="R173">
        <v>161</v>
      </c>
      <c r="S173" s="13">
        <v>9.6371884099885289E-3</v>
      </c>
    </row>
    <row r="174" spans="18:19" x14ac:dyDescent="0.35">
      <c r="R174">
        <v>162</v>
      </c>
      <c r="S174" s="13">
        <v>3.044225182984709E-2</v>
      </c>
    </row>
    <row r="175" spans="18:19" x14ac:dyDescent="0.35">
      <c r="R175">
        <v>163</v>
      </c>
      <c r="S175" s="13">
        <v>2.7894116873599099E-2</v>
      </c>
    </row>
    <row r="176" spans="18:19" x14ac:dyDescent="0.35">
      <c r="R176">
        <v>164</v>
      </c>
      <c r="S176" s="13">
        <v>9.0484155985335549E-3</v>
      </c>
    </row>
    <row r="177" spans="18:19" x14ac:dyDescent="0.35">
      <c r="R177">
        <v>165</v>
      </c>
      <c r="S177" s="13">
        <v>8.628114935492261E-3</v>
      </c>
    </row>
    <row r="178" spans="18:19" x14ac:dyDescent="0.35">
      <c r="R178">
        <v>166</v>
      </c>
      <c r="S178" s="13">
        <v>3.2911468511222966E-2</v>
      </c>
    </row>
    <row r="179" spans="18:19" x14ac:dyDescent="0.35">
      <c r="R179">
        <v>167</v>
      </c>
      <c r="S179" s="13">
        <v>3.6688113723258614E-2</v>
      </c>
    </row>
    <row r="180" spans="18:19" x14ac:dyDescent="0.35">
      <c r="R180">
        <v>168</v>
      </c>
      <c r="S180" s="13">
        <v>2.9041937547808368E-2</v>
      </c>
    </row>
    <row r="181" spans="18:19" x14ac:dyDescent="0.35">
      <c r="R181">
        <v>169</v>
      </c>
      <c r="S181" s="13">
        <v>2.7716507582891136E-2</v>
      </c>
    </row>
    <row r="182" spans="18:19" x14ac:dyDescent="0.35">
      <c r="R182">
        <v>170</v>
      </c>
      <c r="S182" s="13">
        <v>1.4115829216030277E-2</v>
      </c>
    </row>
    <row r="183" spans="18:19" x14ac:dyDescent="0.35">
      <c r="R183">
        <v>171</v>
      </c>
      <c r="S183" s="13">
        <v>2.961548669883271E-2</v>
      </c>
    </row>
    <row r="184" spans="18:19" x14ac:dyDescent="0.35">
      <c r="R184">
        <v>172</v>
      </c>
      <c r="S184" s="13">
        <v>2.0633666996932067E-2</v>
      </c>
    </row>
    <row r="185" spans="18:19" x14ac:dyDescent="0.35">
      <c r="R185">
        <v>173</v>
      </c>
      <c r="S185" s="13">
        <v>1.0005190300971231E-2</v>
      </c>
    </row>
    <row r="186" spans="18:19" x14ac:dyDescent="0.35">
      <c r="R186">
        <v>174</v>
      </c>
      <c r="S186" s="13">
        <v>2.7602045489394385E-2</v>
      </c>
    </row>
    <row r="187" spans="18:19" x14ac:dyDescent="0.35">
      <c r="R187">
        <v>175</v>
      </c>
      <c r="S187" s="13">
        <v>2.8766163206537486E-2</v>
      </c>
    </row>
    <row r="188" spans="18:19" x14ac:dyDescent="0.35">
      <c r="R188">
        <v>176</v>
      </c>
      <c r="S188" s="13">
        <v>2.993709590133397E-2</v>
      </c>
    </row>
    <row r="189" spans="18:19" x14ac:dyDescent="0.35">
      <c r="R189">
        <v>177</v>
      </c>
      <c r="S189" s="13">
        <v>2.2772838438467603E-2</v>
      </c>
    </row>
    <row r="190" spans="18:19" x14ac:dyDescent="0.35">
      <c r="R190">
        <v>178</v>
      </c>
      <c r="S190" s="13">
        <v>3.1468163691684904E-2</v>
      </c>
    </row>
    <row r="191" spans="18:19" x14ac:dyDescent="0.35">
      <c r="R191">
        <v>179</v>
      </c>
      <c r="S191" s="13">
        <v>1.2519528187997269E-2</v>
      </c>
    </row>
    <row r="192" spans="18:19" x14ac:dyDescent="0.35">
      <c r="R192">
        <v>180</v>
      </c>
      <c r="S192" s="13">
        <v>1.8581238051693608E-2</v>
      </c>
    </row>
    <row r="193" spans="18:19" x14ac:dyDescent="0.35">
      <c r="R193">
        <v>181</v>
      </c>
      <c r="S193" s="13">
        <v>3.6067587775341491E-2</v>
      </c>
    </row>
    <row r="194" spans="18:19" x14ac:dyDescent="0.35">
      <c r="R194">
        <v>182</v>
      </c>
      <c r="S194" s="13">
        <v>3.0451141230064122E-3</v>
      </c>
    </row>
    <row r="195" spans="18:19" x14ac:dyDescent="0.35">
      <c r="R195">
        <v>183</v>
      </c>
      <c r="S195" s="13">
        <v>1.6357128369824527E-2</v>
      </c>
    </row>
    <row r="196" spans="18:19" x14ac:dyDescent="0.35">
      <c r="R196">
        <v>184</v>
      </c>
      <c r="S196" s="13">
        <v>2.4401101256618755E-2</v>
      </c>
    </row>
    <row r="197" spans="18:19" x14ac:dyDescent="0.35">
      <c r="R197">
        <v>185</v>
      </c>
      <c r="S197" s="13">
        <v>1.968023413250659E-2</v>
      </c>
    </row>
    <row r="198" spans="18:19" x14ac:dyDescent="0.35">
      <c r="R198">
        <v>186</v>
      </c>
      <c r="S198" s="13">
        <v>2.0646081785280906E-3</v>
      </c>
    </row>
    <row r="199" spans="18:19" x14ac:dyDescent="0.35">
      <c r="R199">
        <v>187</v>
      </c>
      <c r="S199" s="13">
        <v>2.5280475122678777E-2</v>
      </c>
    </row>
    <row r="200" spans="18:19" x14ac:dyDescent="0.35">
      <c r="R200">
        <v>188</v>
      </c>
      <c r="S200" s="13">
        <v>1.9699654961671795E-2</v>
      </c>
    </row>
    <row r="201" spans="18:19" x14ac:dyDescent="0.35">
      <c r="R201">
        <v>189</v>
      </c>
      <c r="S201" s="13">
        <v>2.1580958037150266E-2</v>
      </c>
    </row>
    <row r="202" spans="18:19" x14ac:dyDescent="0.35">
      <c r="R202">
        <v>190</v>
      </c>
      <c r="S202" s="13">
        <v>1.4891314777076522E-2</v>
      </c>
    </row>
    <row r="203" spans="18:19" x14ac:dyDescent="0.35">
      <c r="R203">
        <v>191</v>
      </c>
      <c r="S203" s="13">
        <v>1.8776931868619697E-2</v>
      </c>
    </row>
    <row r="204" spans="18:19" x14ac:dyDescent="0.35">
      <c r="R204">
        <v>192</v>
      </c>
      <c r="S204" s="13">
        <v>1.0162641319102435E-2</v>
      </c>
    </row>
    <row r="205" spans="18:19" x14ac:dyDescent="0.35">
      <c r="R205">
        <v>193</v>
      </c>
      <c r="S205" s="13">
        <v>1.0099416133602624E-2</v>
      </c>
    </row>
    <row r="206" spans="18:19" x14ac:dyDescent="0.35">
      <c r="R206">
        <v>194</v>
      </c>
      <c r="S206" s="13">
        <v>1.9685735873082214E-2</v>
      </c>
    </row>
    <row r="207" spans="18:19" x14ac:dyDescent="0.35">
      <c r="R207">
        <v>195</v>
      </c>
      <c r="S207" s="13">
        <v>1.8176384632180031E-2</v>
      </c>
    </row>
    <row r="208" spans="18:19" x14ac:dyDescent="0.35">
      <c r="R208">
        <v>196</v>
      </c>
      <c r="S208" s="13">
        <v>3.5488274600357694E-2</v>
      </c>
    </row>
    <row r="209" spans="18:19" x14ac:dyDescent="0.35">
      <c r="R209">
        <v>197</v>
      </c>
      <c r="S209" s="13">
        <v>2.1705095682777526E-2</v>
      </c>
    </row>
    <row r="210" spans="18:19" x14ac:dyDescent="0.35">
      <c r="R210">
        <v>198</v>
      </c>
      <c r="S210" s="13">
        <v>2.9107917987966372E-2</v>
      </c>
    </row>
    <row r="211" spans="18:19" x14ac:dyDescent="0.35">
      <c r="R211">
        <v>199</v>
      </c>
      <c r="S211" s="13">
        <v>4.2415420405423732E-2</v>
      </c>
    </row>
    <row r="212" spans="18:19" x14ac:dyDescent="0.35">
      <c r="R212">
        <v>200</v>
      </c>
      <c r="S212" s="13">
        <v>2.3908834919237815E-2</v>
      </c>
    </row>
    <row r="213" spans="18:19" x14ac:dyDescent="0.35">
      <c r="R213">
        <v>201</v>
      </c>
      <c r="S213" s="13">
        <v>3.0960089745863784E-2</v>
      </c>
    </row>
    <row r="214" spans="18:19" x14ac:dyDescent="0.35">
      <c r="R214">
        <v>202</v>
      </c>
      <c r="S214" s="13">
        <v>1.9810915084535075E-2</v>
      </c>
    </row>
    <row r="215" spans="18:19" x14ac:dyDescent="0.35">
      <c r="R215">
        <v>203</v>
      </c>
      <c r="S215" s="13">
        <v>2.8027145296536403E-2</v>
      </c>
    </row>
    <row r="216" spans="18:19" x14ac:dyDescent="0.35">
      <c r="R216">
        <v>204</v>
      </c>
      <c r="S216" s="13">
        <v>3.1272717629178076E-2</v>
      </c>
    </row>
    <row r="217" spans="18:19" x14ac:dyDescent="0.35">
      <c r="R217">
        <v>205</v>
      </c>
      <c r="S217" s="13">
        <v>1.1414175259291403E-2</v>
      </c>
    </row>
    <row r="218" spans="18:19" x14ac:dyDescent="0.35">
      <c r="R218">
        <v>206</v>
      </c>
      <c r="S218" s="13">
        <v>2.1347819202183246E-2</v>
      </c>
    </row>
    <row r="219" spans="18:19" x14ac:dyDescent="0.35">
      <c r="R219">
        <v>207</v>
      </c>
      <c r="S219" s="13">
        <v>1.9266284573586642E-2</v>
      </c>
    </row>
    <row r="220" spans="18:19" x14ac:dyDescent="0.35">
      <c r="R220">
        <v>208</v>
      </c>
      <c r="S220" s="13">
        <v>3.0302617273884655E-2</v>
      </c>
    </row>
    <row r="221" spans="18:19" x14ac:dyDescent="0.35">
      <c r="R221">
        <v>209</v>
      </c>
      <c r="S221" s="13">
        <v>1.5982264327080095E-2</v>
      </c>
    </row>
    <row r="222" spans="18:19" x14ac:dyDescent="0.35">
      <c r="R222">
        <v>210</v>
      </c>
      <c r="S222" s="13">
        <v>1.9678373013848213E-2</v>
      </c>
    </row>
    <row r="223" spans="18:19" x14ac:dyDescent="0.35">
      <c r="R223">
        <v>211</v>
      </c>
      <c r="S223" s="13">
        <v>7.1461459708741914E-3</v>
      </c>
    </row>
    <row r="224" spans="18:19" x14ac:dyDescent="0.35">
      <c r="R224">
        <v>212</v>
      </c>
      <c r="S224" s="13">
        <v>3.0850630710255476E-2</v>
      </c>
    </row>
    <row r="225" spans="18:19" x14ac:dyDescent="0.35">
      <c r="R225">
        <v>213</v>
      </c>
      <c r="S225" s="13">
        <v>9.41083864339156E-3</v>
      </c>
    </row>
    <row r="226" spans="18:19" x14ac:dyDescent="0.35">
      <c r="R226">
        <v>214</v>
      </c>
      <c r="S226" s="13">
        <v>1.8192803746304737E-2</v>
      </c>
    </row>
    <row r="227" spans="18:19" x14ac:dyDescent="0.35">
      <c r="R227">
        <v>215</v>
      </c>
      <c r="S227" s="13">
        <v>4.3502518869677861E-2</v>
      </c>
    </row>
    <row r="228" spans="18:19" x14ac:dyDescent="0.35">
      <c r="R228">
        <v>216</v>
      </c>
      <c r="S228" s="13">
        <v>3.4223009794182538E-2</v>
      </c>
    </row>
    <row r="229" spans="18:19" x14ac:dyDescent="0.35">
      <c r="R229">
        <v>217</v>
      </c>
      <c r="S229" s="13">
        <v>1.8917211908667509E-2</v>
      </c>
    </row>
    <row r="230" spans="18:19" x14ac:dyDescent="0.35">
      <c r="R230">
        <v>218</v>
      </c>
      <c r="S230" s="13">
        <v>9.1003303459349302E-3</v>
      </c>
    </row>
    <row r="231" spans="18:19" x14ac:dyDescent="0.35">
      <c r="R231">
        <v>219</v>
      </c>
      <c r="S231" s="13">
        <v>4.0886980177503557E-2</v>
      </c>
    </row>
    <row r="232" spans="18:19" x14ac:dyDescent="0.35">
      <c r="R232">
        <v>220</v>
      </c>
      <c r="S232" s="13">
        <v>2.2631025300755944E-2</v>
      </c>
    </row>
    <row r="233" spans="18:19" x14ac:dyDescent="0.35">
      <c r="R233">
        <v>221</v>
      </c>
      <c r="S233" s="13">
        <v>1.089938306896659E-2</v>
      </c>
    </row>
    <row r="234" spans="18:19" x14ac:dyDescent="0.35">
      <c r="R234">
        <v>222</v>
      </c>
      <c r="S234" s="13">
        <v>2.7079450557016646E-2</v>
      </c>
    </row>
    <row r="235" spans="18:19" x14ac:dyDescent="0.35">
      <c r="R235">
        <v>223</v>
      </c>
      <c r="S235" s="13">
        <v>5.7271993610556755E-3</v>
      </c>
    </row>
    <row r="236" spans="18:19" x14ac:dyDescent="0.35">
      <c r="R236">
        <v>224</v>
      </c>
      <c r="S236" s="13">
        <v>3.8732959763765132E-2</v>
      </c>
    </row>
    <row r="237" spans="18:19" x14ac:dyDescent="0.35">
      <c r="R237">
        <v>225</v>
      </c>
      <c r="S237" s="13">
        <v>-1.2132443367461245E-2</v>
      </c>
    </row>
    <row r="238" spans="18:19" x14ac:dyDescent="0.35">
      <c r="R238">
        <v>226</v>
      </c>
      <c r="S238" s="13">
        <v>2.6637324795307175E-2</v>
      </c>
    </row>
    <row r="239" spans="18:19" x14ac:dyDescent="0.35">
      <c r="R239">
        <v>227</v>
      </c>
      <c r="S239" s="13">
        <v>2.4032411253068098E-2</v>
      </c>
    </row>
    <row r="240" spans="18:19" x14ac:dyDescent="0.35">
      <c r="R240">
        <v>228</v>
      </c>
      <c r="S240" s="13">
        <v>9.121703293265641E-3</v>
      </c>
    </row>
    <row r="241" spans="18:19" x14ac:dyDescent="0.35">
      <c r="R241">
        <v>229</v>
      </c>
      <c r="S241" s="13">
        <v>3.0258307245653419E-2</v>
      </c>
    </row>
    <row r="242" spans="18:19" x14ac:dyDescent="0.35">
      <c r="R242">
        <v>230</v>
      </c>
      <c r="S242" s="13">
        <v>1.7358718796630594E-2</v>
      </c>
    </row>
    <row r="243" spans="18:19" x14ac:dyDescent="0.35">
      <c r="R243">
        <v>231</v>
      </c>
      <c r="S243" s="13">
        <v>2.2026104638278254E-2</v>
      </c>
    </row>
    <row r="244" spans="18:19" x14ac:dyDescent="0.35">
      <c r="R244">
        <v>232</v>
      </c>
      <c r="S244" s="13">
        <v>1.5107558981484158E-2</v>
      </c>
    </row>
    <row r="245" spans="18:19" x14ac:dyDescent="0.35">
      <c r="R245">
        <v>233</v>
      </c>
      <c r="S245" s="13">
        <v>1.5375805862092296E-2</v>
      </c>
    </row>
    <row r="246" spans="18:19" x14ac:dyDescent="0.35">
      <c r="R246">
        <v>234</v>
      </c>
      <c r="S246" s="13">
        <v>1.8862406876561145E-2</v>
      </c>
    </row>
    <row r="247" spans="18:19" x14ac:dyDescent="0.35">
      <c r="R247">
        <v>235</v>
      </c>
      <c r="S247" s="13">
        <v>2.0296134779608319E-2</v>
      </c>
    </row>
    <row r="248" spans="18:19" x14ac:dyDescent="0.35">
      <c r="R248">
        <v>236</v>
      </c>
      <c r="S248" s="13">
        <v>5.3543676233877638E-3</v>
      </c>
    </row>
    <row r="249" spans="18:19" x14ac:dyDescent="0.35">
      <c r="R249">
        <v>237</v>
      </c>
      <c r="S249" s="13">
        <v>1.8440810787999511E-2</v>
      </c>
    </row>
    <row r="250" spans="18:19" x14ac:dyDescent="0.35">
      <c r="R250">
        <v>238</v>
      </c>
      <c r="S250" s="13">
        <v>2.8500082088379716E-2</v>
      </c>
    </row>
    <row r="251" spans="18:19" x14ac:dyDescent="0.35">
      <c r="R251">
        <v>239</v>
      </c>
      <c r="S251" s="13">
        <v>1.849308393489351E-2</v>
      </c>
    </row>
    <row r="252" spans="18:19" x14ac:dyDescent="0.35">
      <c r="R252">
        <v>240</v>
      </c>
      <c r="S252" s="13">
        <v>2.789390830165709E-2</v>
      </c>
    </row>
    <row r="253" spans="18:19" x14ac:dyDescent="0.35">
      <c r="R253">
        <v>241</v>
      </c>
      <c r="S253" s="13">
        <v>3.2959769299667395E-2</v>
      </c>
    </row>
    <row r="254" spans="18:19" x14ac:dyDescent="0.35">
      <c r="R254">
        <v>242</v>
      </c>
      <c r="S254" s="13">
        <v>3.1049345657191692E-2</v>
      </c>
    </row>
    <row r="255" spans="18:19" x14ac:dyDescent="0.35">
      <c r="R255">
        <v>243</v>
      </c>
      <c r="S255" s="13">
        <v>3.9796631375838012E-2</v>
      </c>
    </row>
    <row r="256" spans="18:19" x14ac:dyDescent="0.35">
      <c r="R256">
        <v>244</v>
      </c>
      <c r="S256" s="13">
        <v>1.8562550249563239E-2</v>
      </c>
    </row>
    <row r="257" spans="18:19" x14ac:dyDescent="0.35">
      <c r="R257">
        <v>245</v>
      </c>
      <c r="S257" s="13">
        <v>3.361815298771717E-2</v>
      </c>
    </row>
    <row r="258" spans="18:19" x14ac:dyDescent="0.35">
      <c r="R258">
        <v>246</v>
      </c>
      <c r="S258" s="13">
        <v>2.2270225544700376E-2</v>
      </c>
    </row>
    <row r="259" spans="18:19" x14ac:dyDescent="0.35">
      <c r="R259">
        <v>247</v>
      </c>
      <c r="S259" s="13">
        <v>9.1430109575170934E-3</v>
      </c>
    </row>
    <row r="260" spans="18:19" x14ac:dyDescent="0.35">
      <c r="R260">
        <v>248</v>
      </c>
      <c r="S260" s="13">
        <v>2.1320503554751506E-2</v>
      </c>
    </row>
    <row r="261" spans="18:19" x14ac:dyDescent="0.35">
      <c r="R261">
        <v>249</v>
      </c>
      <c r="S261" s="13">
        <v>2.2914005005808074E-2</v>
      </c>
    </row>
    <row r="262" spans="18:19" x14ac:dyDescent="0.35">
      <c r="R262">
        <v>250</v>
      </c>
      <c r="S262" s="13">
        <v>3.6145104412079881E-2</v>
      </c>
    </row>
    <row r="263" spans="18:19" x14ac:dyDescent="0.35">
      <c r="R263">
        <v>251</v>
      </c>
      <c r="S263" s="13">
        <v>2.5500579892897196E-2</v>
      </c>
    </row>
    <row r="264" spans="18:19" x14ac:dyDescent="0.35">
      <c r="R264">
        <v>252</v>
      </c>
      <c r="S264" s="13">
        <v>9.4382249069717237E-3</v>
      </c>
    </row>
    <row r="265" spans="18:19" x14ac:dyDescent="0.35">
      <c r="R265">
        <v>253</v>
      </c>
      <c r="S265" s="13">
        <v>1.4831828139394005E-2</v>
      </c>
    </row>
    <row r="266" spans="18:19" x14ac:dyDescent="0.35">
      <c r="R266">
        <v>254</v>
      </c>
      <c r="S266" s="13">
        <v>1.3389524135801852E-2</v>
      </c>
    </row>
    <row r="267" spans="18:19" x14ac:dyDescent="0.35">
      <c r="R267">
        <v>255</v>
      </c>
      <c r="S267" s="13">
        <v>1.8832985508453099E-2</v>
      </c>
    </row>
    <row r="268" spans="18:19" x14ac:dyDescent="0.35">
      <c r="R268">
        <v>256</v>
      </c>
      <c r="S268" s="13">
        <v>2.1715654132814927E-2</v>
      </c>
    </row>
    <row r="269" spans="18:19" x14ac:dyDescent="0.35">
      <c r="R269">
        <v>257</v>
      </c>
      <c r="S269" s="13">
        <v>2.8332153389062507E-2</v>
      </c>
    </row>
    <row r="270" spans="18:19" x14ac:dyDescent="0.35">
      <c r="R270">
        <v>258</v>
      </c>
      <c r="S270" s="13">
        <v>-5.894669417791789E-3</v>
      </c>
    </row>
    <row r="271" spans="18:19" x14ac:dyDescent="0.35">
      <c r="R271">
        <v>259</v>
      </c>
      <c r="S271" s="13">
        <v>9.9710365670128455E-3</v>
      </c>
    </row>
    <row r="272" spans="18:19" x14ac:dyDescent="0.35">
      <c r="R272">
        <v>260</v>
      </c>
      <c r="S272" s="13">
        <v>3.5035932541514887E-2</v>
      </c>
    </row>
    <row r="273" spans="18:19" x14ac:dyDescent="0.35">
      <c r="R273">
        <v>261</v>
      </c>
      <c r="S273" s="13">
        <v>6.1172069967825923E-3</v>
      </c>
    </row>
    <row r="274" spans="18:19" x14ac:dyDescent="0.35">
      <c r="R274">
        <v>262</v>
      </c>
      <c r="S274" s="13">
        <v>2.5344043414364185E-2</v>
      </c>
    </row>
    <row r="275" spans="18:19" x14ac:dyDescent="0.35">
      <c r="R275">
        <v>263</v>
      </c>
      <c r="S275" s="13">
        <v>2.1349268414681828E-2</v>
      </c>
    </row>
    <row r="276" spans="18:19" x14ac:dyDescent="0.35">
      <c r="R276">
        <v>264</v>
      </c>
      <c r="S276" s="13">
        <v>1.1808362043514285E-2</v>
      </c>
    </row>
    <row r="277" spans="18:19" x14ac:dyDescent="0.35">
      <c r="R277">
        <v>265</v>
      </c>
      <c r="S277" s="13">
        <v>2.2400978045137653E-2</v>
      </c>
    </row>
    <row r="278" spans="18:19" x14ac:dyDescent="0.35">
      <c r="R278">
        <v>266</v>
      </c>
      <c r="S278" s="13">
        <v>1.922122677017293E-2</v>
      </c>
    </row>
    <row r="279" spans="18:19" x14ac:dyDescent="0.35">
      <c r="R279">
        <v>267</v>
      </c>
      <c r="S279" s="13">
        <v>2.413830087849806E-2</v>
      </c>
    </row>
    <row r="280" spans="18:19" x14ac:dyDescent="0.35">
      <c r="R280">
        <v>268</v>
      </c>
      <c r="S280" s="13">
        <v>2.826807895733667E-2</v>
      </c>
    </row>
    <row r="281" spans="18:19" x14ac:dyDescent="0.35">
      <c r="R281">
        <v>269</v>
      </c>
      <c r="S281" s="13">
        <v>2.2553028547989663E-2</v>
      </c>
    </row>
    <row r="282" spans="18:19" x14ac:dyDescent="0.35">
      <c r="R282">
        <v>270</v>
      </c>
      <c r="S282" s="13">
        <v>9.7667388805004075E-3</v>
      </c>
    </row>
    <row r="283" spans="18:19" x14ac:dyDescent="0.35">
      <c r="R283">
        <v>271</v>
      </c>
      <c r="S283" s="13">
        <v>1.7108502569869597E-2</v>
      </c>
    </row>
    <row r="284" spans="18:19" x14ac:dyDescent="0.35">
      <c r="R284">
        <v>272</v>
      </c>
      <c r="S284" s="13">
        <v>1.493188238051427E-2</v>
      </c>
    </row>
    <row r="285" spans="18:19" x14ac:dyDescent="0.35">
      <c r="R285">
        <v>273</v>
      </c>
      <c r="S285" s="13">
        <v>3.3721157447190911E-2</v>
      </c>
    </row>
    <row r="286" spans="18:19" x14ac:dyDescent="0.35">
      <c r="R286">
        <v>274</v>
      </c>
      <c r="S286" s="13">
        <v>2.9440358848701078E-2</v>
      </c>
    </row>
    <row r="287" spans="18:19" x14ac:dyDescent="0.35">
      <c r="R287">
        <v>275</v>
      </c>
      <c r="S287" s="13">
        <v>1.8922164884398972E-2</v>
      </c>
    </row>
    <row r="288" spans="18:19" x14ac:dyDescent="0.35">
      <c r="R288">
        <v>276</v>
      </c>
      <c r="S288" s="13">
        <v>1.6172475108889188E-2</v>
      </c>
    </row>
    <row r="289" spans="18:19" x14ac:dyDescent="0.35">
      <c r="R289">
        <v>277</v>
      </c>
      <c r="S289" s="13">
        <v>1.5174031587046806E-2</v>
      </c>
    </row>
    <row r="290" spans="18:19" x14ac:dyDescent="0.35">
      <c r="R290">
        <v>278</v>
      </c>
      <c r="S290" s="13">
        <v>1.9274631162880494E-2</v>
      </c>
    </row>
    <row r="291" spans="18:19" x14ac:dyDescent="0.35">
      <c r="R291">
        <v>279</v>
      </c>
      <c r="S291" s="13">
        <v>6.8369593552900492E-3</v>
      </c>
    </row>
    <row r="292" spans="18:19" x14ac:dyDescent="0.35">
      <c r="R292">
        <v>280</v>
      </c>
      <c r="S292" s="13">
        <v>1.7334563699630476E-2</v>
      </c>
    </row>
    <row r="293" spans="18:19" x14ac:dyDescent="0.35">
      <c r="R293">
        <v>281</v>
      </c>
      <c r="S293" s="13">
        <v>1.240519854676121E-2</v>
      </c>
    </row>
    <row r="294" spans="18:19" x14ac:dyDescent="0.35">
      <c r="R294">
        <v>282</v>
      </c>
      <c r="S294" s="13">
        <v>2.8000569394263576E-2</v>
      </c>
    </row>
    <row r="295" spans="18:19" x14ac:dyDescent="0.35">
      <c r="R295">
        <v>283</v>
      </c>
      <c r="S295" s="13">
        <v>1.0987925985709244E-2</v>
      </c>
    </row>
    <row r="296" spans="18:19" x14ac:dyDescent="0.35">
      <c r="R296">
        <v>284</v>
      </c>
      <c r="S296" s="13">
        <v>3.2074181467876571E-2</v>
      </c>
    </row>
    <row r="297" spans="18:19" x14ac:dyDescent="0.35">
      <c r="R297">
        <v>285</v>
      </c>
      <c r="S297" s="13">
        <v>1.1369319313554624E-2</v>
      </c>
    </row>
    <row r="298" spans="18:19" x14ac:dyDescent="0.35">
      <c r="R298">
        <v>286</v>
      </c>
      <c r="S298" s="13">
        <v>2.8296546112234037E-2</v>
      </c>
    </row>
    <row r="299" spans="18:19" x14ac:dyDescent="0.35">
      <c r="R299">
        <v>287</v>
      </c>
      <c r="S299" s="13">
        <v>2.5734024271394561E-2</v>
      </c>
    </row>
    <row r="300" spans="18:19" x14ac:dyDescent="0.35">
      <c r="R300">
        <v>288</v>
      </c>
      <c r="S300" s="13">
        <v>3.3096519822478424E-2</v>
      </c>
    </row>
    <row r="301" spans="18:19" x14ac:dyDescent="0.35">
      <c r="R301">
        <v>289</v>
      </c>
      <c r="S301" s="13">
        <v>8.2061885609514881E-3</v>
      </c>
    </row>
    <row r="302" spans="18:19" x14ac:dyDescent="0.35">
      <c r="R302">
        <v>290</v>
      </c>
      <c r="S302" s="13">
        <v>7.605486665522394E-3</v>
      </c>
    </row>
    <row r="303" spans="18:19" x14ac:dyDescent="0.35">
      <c r="R303">
        <v>291</v>
      </c>
      <c r="S303" s="13">
        <v>2.9014628207178365E-2</v>
      </c>
    </row>
    <row r="304" spans="18:19" x14ac:dyDescent="0.35">
      <c r="R304">
        <v>292</v>
      </c>
      <c r="S304" s="13">
        <v>1.3038159260095834E-2</v>
      </c>
    </row>
    <row r="305" spans="18:19" x14ac:dyDescent="0.35">
      <c r="R305">
        <v>293</v>
      </c>
      <c r="S305" s="13">
        <v>3.2902320051321265E-2</v>
      </c>
    </row>
    <row r="306" spans="18:19" x14ac:dyDescent="0.35">
      <c r="R306">
        <v>294</v>
      </c>
      <c r="S306" s="13">
        <v>1.6826189612991337E-2</v>
      </c>
    </row>
    <row r="307" spans="18:19" x14ac:dyDescent="0.35">
      <c r="R307">
        <v>295</v>
      </c>
      <c r="S307" s="13">
        <v>4.2693428368667637E-2</v>
      </c>
    </row>
    <row r="308" spans="18:19" x14ac:dyDescent="0.35">
      <c r="R308">
        <v>296</v>
      </c>
      <c r="S308" s="13">
        <v>9.3568754852655991E-3</v>
      </c>
    </row>
    <row r="309" spans="18:19" x14ac:dyDescent="0.35">
      <c r="R309">
        <v>297</v>
      </c>
      <c r="S309" s="13">
        <v>2.0221494270834254E-2</v>
      </c>
    </row>
    <row r="310" spans="18:19" x14ac:dyDescent="0.35">
      <c r="R310">
        <v>298</v>
      </c>
      <c r="S310" s="13">
        <v>1.429467299647778E-2</v>
      </c>
    </row>
    <row r="311" spans="18:19" x14ac:dyDescent="0.35">
      <c r="R311">
        <v>299</v>
      </c>
      <c r="S311" s="13">
        <v>1.8346661287778711E-2</v>
      </c>
    </row>
    <row r="312" spans="18:19" x14ac:dyDescent="0.35">
      <c r="R312">
        <v>300</v>
      </c>
      <c r="S312" s="13">
        <v>1.9122706504389013E-2</v>
      </c>
    </row>
    <row r="313" spans="18:19" x14ac:dyDescent="0.35">
      <c r="R313">
        <v>301</v>
      </c>
      <c r="S313" s="13">
        <v>2.4694493683694828E-2</v>
      </c>
    </row>
    <row r="314" spans="18:19" x14ac:dyDescent="0.35">
      <c r="R314">
        <v>302</v>
      </c>
      <c r="S314" s="13">
        <v>2.6004375725517444E-2</v>
      </c>
    </row>
    <row r="315" spans="18:19" x14ac:dyDescent="0.35">
      <c r="R315">
        <v>303</v>
      </c>
      <c r="S315" s="13">
        <v>2.6293792222763842E-2</v>
      </c>
    </row>
    <row r="316" spans="18:19" x14ac:dyDescent="0.35">
      <c r="R316">
        <v>304</v>
      </c>
      <c r="S316" s="13">
        <v>1.097551331362271E-2</v>
      </c>
    </row>
    <row r="317" spans="18:19" x14ac:dyDescent="0.35">
      <c r="R317">
        <v>305</v>
      </c>
      <c r="S317" s="13">
        <v>8.9597684254874802E-3</v>
      </c>
    </row>
    <row r="318" spans="18:19" x14ac:dyDescent="0.35">
      <c r="R318">
        <v>306</v>
      </c>
      <c r="S318" s="13">
        <v>1.9162683933563959E-2</v>
      </c>
    </row>
    <row r="319" spans="18:19" x14ac:dyDescent="0.35">
      <c r="R319">
        <v>307</v>
      </c>
      <c r="S319" s="13">
        <v>1.1603477508449435E-2</v>
      </c>
    </row>
    <row r="320" spans="18:19" x14ac:dyDescent="0.35">
      <c r="R320">
        <v>308</v>
      </c>
      <c r="S320" s="13">
        <v>1.1628212878569317E-2</v>
      </c>
    </row>
    <row r="321" spans="18:19" x14ac:dyDescent="0.35">
      <c r="R321">
        <v>309</v>
      </c>
      <c r="S321" s="13">
        <v>3.5299066348952406E-2</v>
      </c>
    </row>
    <row r="322" spans="18:19" x14ac:dyDescent="0.35">
      <c r="R322">
        <v>310</v>
      </c>
      <c r="S322" s="13">
        <v>-1.389579825354946E-3</v>
      </c>
    </row>
    <row r="323" spans="18:19" x14ac:dyDescent="0.35">
      <c r="R323">
        <v>311</v>
      </c>
      <c r="S323" s="13">
        <v>7.106598727026266E-3</v>
      </c>
    </row>
    <row r="324" spans="18:19" x14ac:dyDescent="0.35">
      <c r="R324">
        <v>312</v>
      </c>
      <c r="S324" s="13">
        <v>1.4369058015331403E-2</v>
      </c>
    </row>
    <row r="325" spans="18:19" x14ac:dyDescent="0.35">
      <c r="R325">
        <v>313</v>
      </c>
      <c r="S325" s="13">
        <v>1.3221138446051342E-2</v>
      </c>
    </row>
    <row r="326" spans="18:19" x14ac:dyDescent="0.35">
      <c r="R326">
        <v>314</v>
      </c>
      <c r="S326" s="13">
        <v>-2.849144549737944E-3</v>
      </c>
    </row>
    <row r="327" spans="18:19" x14ac:dyDescent="0.35">
      <c r="R327">
        <v>315</v>
      </c>
      <c r="S327" s="13">
        <v>5.092287625949099E-3</v>
      </c>
    </row>
    <row r="328" spans="18:19" x14ac:dyDescent="0.35">
      <c r="R328">
        <v>316</v>
      </c>
      <c r="S328" s="13">
        <v>2.2668523182066653E-2</v>
      </c>
    </row>
    <row r="329" spans="18:19" x14ac:dyDescent="0.35">
      <c r="R329">
        <v>317</v>
      </c>
      <c r="S329" s="13">
        <v>1.8882560276932282E-2</v>
      </c>
    </row>
    <row r="330" spans="18:19" x14ac:dyDescent="0.35">
      <c r="R330">
        <v>318</v>
      </c>
      <c r="S330" s="13">
        <v>3.3431290351767257E-2</v>
      </c>
    </row>
    <row r="331" spans="18:19" x14ac:dyDescent="0.35">
      <c r="R331">
        <v>319</v>
      </c>
      <c r="S331" s="13">
        <v>9.4509433691836904E-3</v>
      </c>
    </row>
    <row r="332" spans="18:19" x14ac:dyDescent="0.35">
      <c r="R332">
        <v>320</v>
      </c>
      <c r="S332" s="13">
        <v>2.7243157339798957E-2</v>
      </c>
    </row>
    <row r="333" spans="18:19" x14ac:dyDescent="0.35">
      <c r="R333">
        <v>321</v>
      </c>
      <c r="S333" s="13">
        <v>1.0443110178979829E-2</v>
      </c>
    </row>
    <row r="334" spans="18:19" x14ac:dyDescent="0.35">
      <c r="R334">
        <v>322</v>
      </c>
      <c r="S334" s="13">
        <v>2.2437194648798214E-2</v>
      </c>
    </row>
    <row r="335" spans="18:19" x14ac:dyDescent="0.35">
      <c r="R335">
        <v>323</v>
      </c>
      <c r="S335" s="13">
        <v>2.2109096637801355E-2</v>
      </c>
    </row>
    <row r="336" spans="18:19" x14ac:dyDescent="0.35">
      <c r="R336">
        <v>324</v>
      </c>
      <c r="S336" s="13">
        <v>1.1822438621234417E-2</v>
      </c>
    </row>
    <row r="337" spans="18:19" x14ac:dyDescent="0.35">
      <c r="R337">
        <v>325</v>
      </c>
      <c r="S337" s="13">
        <v>1.1141266486596267E-2</v>
      </c>
    </row>
    <row r="338" spans="18:19" x14ac:dyDescent="0.35">
      <c r="R338">
        <v>326</v>
      </c>
      <c r="S338" s="13">
        <v>1.8391699125831801E-2</v>
      </c>
    </row>
    <row r="339" spans="18:19" x14ac:dyDescent="0.35">
      <c r="R339">
        <v>327</v>
      </c>
      <c r="S339" s="13">
        <v>8.5045108154346381E-3</v>
      </c>
    </row>
    <row r="340" spans="18:19" x14ac:dyDescent="0.35">
      <c r="R340">
        <v>328</v>
      </c>
      <c r="S340" s="13">
        <v>1.0479885579982813E-2</v>
      </c>
    </row>
    <row r="341" spans="18:19" x14ac:dyDescent="0.35">
      <c r="R341">
        <v>329</v>
      </c>
      <c r="S341" s="13">
        <v>1.2641954043749558E-2</v>
      </c>
    </row>
    <row r="342" spans="18:19" x14ac:dyDescent="0.35">
      <c r="R342">
        <v>330</v>
      </c>
      <c r="S342" s="13">
        <v>1.2641036086647024E-2</v>
      </c>
    </row>
    <row r="343" spans="18:19" x14ac:dyDescent="0.35">
      <c r="R343">
        <v>331</v>
      </c>
      <c r="S343" s="13">
        <v>3.9614256929304925E-2</v>
      </c>
    </row>
    <row r="344" spans="18:19" x14ac:dyDescent="0.35">
      <c r="R344">
        <v>332</v>
      </c>
      <c r="S344" s="13">
        <v>-5.9165564813317313E-3</v>
      </c>
    </row>
    <row r="345" spans="18:19" x14ac:dyDescent="0.35">
      <c r="R345">
        <v>333</v>
      </c>
      <c r="S345" s="13">
        <v>3.8460021626806271E-2</v>
      </c>
    </row>
    <row r="346" spans="18:19" x14ac:dyDescent="0.35">
      <c r="R346">
        <v>334</v>
      </c>
      <c r="S346" s="13">
        <v>3.9817686979808267E-2</v>
      </c>
    </row>
    <row r="347" spans="18:19" x14ac:dyDescent="0.35">
      <c r="R347">
        <v>335</v>
      </c>
      <c r="S347" s="13">
        <v>1.5874756159693061E-2</v>
      </c>
    </row>
    <row r="348" spans="18:19" x14ac:dyDescent="0.35">
      <c r="R348">
        <v>336</v>
      </c>
      <c r="S348" s="13">
        <v>1.1235097717025268E-2</v>
      </c>
    </row>
    <row r="349" spans="18:19" x14ac:dyDescent="0.35">
      <c r="R349">
        <v>337</v>
      </c>
      <c r="S349" s="13">
        <v>2.155708980942455E-2</v>
      </c>
    </row>
    <row r="350" spans="18:19" x14ac:dyDescent="0.35">
      <c r="R350">
        <v>338</v>
      </c>
      <c r="S350" s="13">
        <v>1.8571149074109956E-2</v>
      </c>
    </row>
    <row r="351" spans="18:19" x14ac:dyDescent="0.35">
      <c r="R351">
        <v>339</v>
      </c>
      <c r="S351" s="13">
        <v>1.0936420321452998E-2</v>
      </c>
    </row>
    <row r="352" spans="18:19" x14ac:dyDescent="0.35">
      <c r="R352">
        <v>340</v>
      </c>
      <c r="S352" s="13">
        <v>1.9512567745313514E-2</v>
      </c>
    </row>
    <row r="353" spans="18:19" x14ac:dyDescent="0.35">
      <c r="R353">
        <v>341</v>
      </c>
      <c r="S353" s="13">
        <v>2.6905391742818686E-2</v>
      </c>
    </row>
    <row r="354" spans="18:19" x14ac:dyDescent="0.35">
      <c r="R354">
        <v>342</v>
      </c>
      <c r="S354" s="13">
        <v>1.1398398763898773E-2</v>
      </c>
    </row>
    <row r="355" spans="18:19" x14ac:dyDescent="0.35">
      <c r="R355">
        <v>343</v>
      </c>
      <c r="S355" s="13">
        <v>1.9424442004573519E-2</v>
      </c>
    </row>
    <row r="356" spans="18:19" x14ac:dyDescent="0.35">
      <c r="R356">
        <v>344</v>
      </c>
      <c r="S356" s="13">
        <v>2.2643240535682313E-2</v>
      </c>
    </row>
    <row r="357" spans="18:19" x14ac:dyDescent="0.35">
      <c r="R357">
        <v>345</v>
      </c>
      <c r="S357" s="13">
        <v>2.3819976447406882E-3</v>
      </c>
    </row>
    <row r="358" spans="18:19" x14ac:dyDescent="0.35">
      <c r="R358">
        <v>346</v>
      </c>
      <c r="S358" s="13">
        <v>1.9031811441714928E-2</v>
      </c>
    </row>
    <row r="359" spans="18:19" x14ac:dyDescent="0.35">
      <c r="R359">
        <v>347</v>
      </c>
      <c r="S359" s="13">
        <v>6.9383160385561912E-3</v>
      </c>
    </row>
    <row r="360" spans="18:19" x14ac:dyDescent="0.35">
      <c r="R360">
        <v>348</v>
      </c>
      <c r="S360" s="13">
        <v>1.3700627884968839E-2</v>
      </c>
    </row>
    <row r="361" spans="18:19" x14ac:dyDescent="0.35">
      <c r="R361">
        <v>349</v>
      </c>
      <c r="S361" s="13">
        <v>1.2947892577336501E-2</v>
      </c>
    </row>
    <row r="362" spans="18:19" x14ac:dyDescent="0.35">
      <c r="R362">
        <v>350</v>
      </c>
      <c r="S362" s="13">
        <v>1.3488014108096318E-2</v>
      </c>
    </row>
    <row r="363" spans="18:19" x14ac:dyDescent="0.35">
      <c r="R363">
        <v>351</v>
      </c>
      <c r="S363" s="13">
        <v>1.5615110383717871E-2</v>
      </c>
    </row>
    <row r="364" spans="18:19" x14ac:dyDescent="0.35">
      <c r="R364">
        <v>352</v>
      </c>
      <c r="S364" s="13">
        <v>3.575986316058645E-2</v>
      </c>
    </row>
    <row r="365" spans="18:19" x14ac:dyDescent="0.35">
      <c r="R365">
        <v>353</v>
      </c>
      <c r="S365" s="13">
        <v>1.2518261070865056E-2</v>
      </c>
    </row>
    <row r="366" spans="18:19" x14ac:dyDescent="0.35">
      <c r="R366">
        <v>354</v>
      </c>
      <c r="S366" s="13">
        <v>2.6609231460846469E-3</v>
      </c>
    </row>
    <row r="367" spans="18:19" x14ac:dyDescent="0.35">
      <c r="R367">
        <v>355</v>
      </c>
      <c r="S367" s="13">
        <v>2.734167944217342E-2</v>
      </c>
    </row>
    <row r="368" spans="18:19" x14ac:dyDescent="0.35">
      <c r="R368">
        <v>356</v>
      </c>
      <c r="S368" s="13">
        <v>-2.7406638696577702E-3</v>
      </c>
    </row>
    <row r="369" spans="18:19" x14ac:dyDescent="0.35">
      <c r="R369">
        <v>357</v>
      </c>
      <c r="S369" s="13">
        <v>1.1155328929589581E-2</v>
      </c>
    </row>
    <row r="370" spans="18:19" x14ac:dyDescent="0.35">
      <c r="R370">
        <v>358</v>
      </c>
      <c r="S370" s="13">
        <v>2.5765485089129715E-2</v>
      </c>
    </row>
    <row r="371" spans="18:19" x14ac:dyDescent="0.35">
      <c r="R371">
        <v>359</v>
      </c>
      <c r="S371" s="13">
        <v>1.8413304966411609E-2</v>
      </c>
    </row>
    <row r="372" spans="18:19" x14ac:dyDescent="0.35">
      <c r="R372">
        <v>360</v>
      </c>
      <c r="S372" s="13">
        <v>2.0535713717975416E-2</v>
      </c>
    </row>
    <row r="373" spans="18:19" x14ac:dyDescent="0.35">
      <c r="R373">
        <v>361</v>
      </c>
      <c r="S373" s="13">
        <v>1.5516965321113558E-2</v>
      </c>
    </row>
    <row r="374" spans="18:19" x14ac:dyDescent="0.35">
      <c r="R374">
        <v>362</v>
      </c>
      <c r="S374" s="13">
        <v>2.7529417879111846E-2</v>
      </c>
    </row>
    <row r="375" spans="18:19" x14ac:dyDescent="0.35">
      <c r="R375">
        <v>363</v>
      </c>
      <c r="S375" s="13">
        <v>9.6571003588149379E-3</v>
      </c>
    </row>
    <row r="376" spans="18:19" x14ac:dyDescent="0.35">
      <c r="R376">
        <v>364</v>
      </c>
      <c r="S376" s="13">
        <v>-6.2515408258237461E-3</v>
      </c>
    </row>
    <row r="377" spans="18:19" x14ac:dyDescent="0.35">
      <c r="R377">
        <v>365</v>
      </c>
      <c r="S377" s="13">
        <v>3.144112174076151E-2</v>
      </c>
    </row>
    <row r="378" spans="18:19" x14ac:dyDescent="0.35">
      <c r="R378">
        <v>366</v>
      </c>
      <c r="S378" s="13">
        <v>1.3561527494516154E-2</v>
      </c>
    </row>
    <row r="379" spans="18:19" x14ac:dyDescent="0.35">
      <c r="R379">
        <v>367</v>
      </c>
      <c r="S379" s="13">
        <v>2.8731221751810684E-2</v>
      </c>
    </row>
    <row r="380" spans="18:19" x14ac:dyDescent="0.35">
      <c r="R380">
        <v>368</v>
      </c>
      <c r="S380" s="13">
        <v>1.3160057282442968E-2</v>
      </c>
    </row>
    <row r="381" spans="18:19" x14ac:dyDescent="0.35">
      <c r="R381">
        <v>369</v>
      </c>
      <c r="S381" s="13">
        <v>4.8632983337019969E-3</v>
      </c>
    </row>
    <row r="382" spans="18:19" x14ac:dyDescent="0.35">
      <c r="R382">
        <v>370</v>
      </c>
      <c r="S382" s="13">
        <v>1.8640860946862195E-2</v>
      </c>
    </row>
    <row r="383" spans="18:19" x14ac:dyDescent="0.35">
      <c r="R383">
        <v>371</v>
      </c>
      <c r="S383" s="13">
        <v>1.6577306403031983E-2</v>
      </c>
    </row>
    <row r="384" spans="18:19" x14ac:dyDescent="0.35">
      <c r="R384">
        <v>372</v>
      </c>
      <c r="S384" s="13">
        <v>2.9734689826308634E-2</v>
      </c>
    </row>
    <row r="385" spans="18:19" x14ac:dyDescent="0.35">
      <c r="R385">
        <v>373</v>
      </c>
      <c r="S385" s="13">
        <v>3.6060564311330791E-2</v>
      </c>
    </row>
    <row r="386" spans="18:19" x14ac:dyDescent="0.35">
      <c r="R386">
        <v>374</v>
      </c>
      <c r="S386" s="13">
        <v>4.3260098937532576E-2</v>
      </c>
    </row>
    <row r="387" spans="18:19" x14ac:dyDescent="0.35">
      <c r="R387">
        <v>375</v>
      </c>
      <c r="S387" s="13">
        <v>2.5198302765965387E-2</v>
      </c>
    </row>
    <row r="388" spans="18:19" x14ac:dyDescent="0.35">
      <c r="R388">
        <v>376</v>
      </c>
      <c r="S388" s="13">
        <v>1.950777542342369E-2</v>
      </c>
    </row>
    <row r="389" spans="18:19" x14ac:dyDescent="0.35">
      <c r="R389">
        <v>377</v>
      </c>
      <c r="S389" s="13">
        <v>1.5718162959484923E-2</v>
      </c>
    </row>
    <row r="390" spans="18:19" x14ac:dyDescent="0.35">
      <c r="R390">
        <v>378</v>
      </c>
      <c r="S390" s="13">
        <v>2.6632646802479558E-2</v>
      </c>
    </row>
    <row r="391" spans="18:19" x14ac:dyDescent="0.35">
      <c r="R391">
        <v>379</v>
      </c>
      <c r="S391" s="13">
        <v>1.8255231039032139E-2</v>
      </c>
    </row>
    <row r="392" spans="18:19" x14ac:dyDescent="0.35">
      <c r="R392">
        <v>380</v>
      </c>
      <c r="S392" s="13">
        <v>2.4188837495181931E-2</v>
      </c>
    </row>
    <row r="393" spans="18:19" x14ac:dyDescent="0.35">
      <c r="R393">
        <v>381</v>
      </c>
      <c r="S393" s="13">
        <v>3.4398093304110061E-2</v>
      </c>
    </row>
    <row r="394" spans="18:19" x14ac:dyDescent="0.35">
      <c r="R394">
        <v>382</v>
      </c>
      <c r="S394" s="13">
        <v>2.1614063257885268E-2</v>
      </c>
    </row>
    <row r="395" spans="18:19" x14ac:dyDescent="0.35">
      <c r="R395">
        <v>383</v>
      </c>
      <c r="S395" s="13">
        <v>3.0020602533167483E-2</v>
      </c>
    </row>
    <row r="396" spans="18:19" x14ac:dyDescent="0.35">
      <c r="R396">
        <v>384</v>
      </c>
      <c r="S396" s="13">
        <v>3.0071627786909031E-2</v>
      </c>
    </row>
    <row r="397" spans="18:19" x14ac:dyDescent="0.35">
      <c r="R397">
        <v>385</v>
      </c>
      <c r="S397" s="13">
        <v>2.0608341295817428E-2</v>
      </c>
    </row>
    <row r="398" spans="18:19" x14ac:dyDescent="0.35">
      <c r="R398">
        <v>386</v>
      </c>
      <c r="S398" s="13">
        <v>2.6491183710524956E-2</v>
      </c>
    </row>
    <row r="399" spans="18:19" x14ac:dyDescent="0.35">
      <c r="R399">
        <v>387</v>
      </c>
      <c r="S399" s="13">
        <v>1.9272081280849694E-2</v>
      </c>
    </row>
    <row r="400" spans="18:19" x14ac:dyDescent="0.35">
      <c r="R400">
        <v>388</v>
      </c>
      <c r="S400" s="13">
        <v>1.7152046538633881E-2</v>
      </c>
    </row>
    <row r="401" spans="18:19" x14ac:dyDescent="0.35">
      <c r="R401">
        <v>389</v>
      </c>
      <c r="S401" s="13">
        <v>3.1908319322914019E-2</v>
      </c>
    </row>
    <row r="402" spans="18:19" x14ac:dyDescent="0.35">
      <c r="R402">
        <v>390</v>
      </c>
      <c r="S402" s="13">
        <v>1.5567933936812585E-2</v>
      </c>
    </row>
    <row r="403" spans="18:19" x14ac:dyDescent="0.35">
      <c r="R403">
        <v>391</v>
      </c>
      <c r="S403" s="13">
        <v>1.1290582790125155E-2</v>
      </c>
    </row>
    <row r="404" spans="18:19" x14ac:dyDescent="0.35">
      <c r="R404">
        <v>392</v>
      </c>
      <c r="S404" s="13">
        <v>1.5680102121641375E-2</v>
      </c>
    </row>
    <row r="405" spans="18:19" x14ac:dyDescent="0.35">
      <c r="R405">
        <v>393</v>
      </c>
      <c r="S405" s="13">
        <v>2.3840417992336351E-2</v>
      </c>
    </row>
    <row r="406" spans="18:19" x14ac:dyDescent="0.35">
      <c r="R406">
        <v>394</v>
      </c>
      <c r="S406" s="13">
        <v>6.7962868158728592E-3</v>
      </c>
    </row>
    <row r="407" spans="18:19" x14ac:dyDescent="0.35">
      <c r="R407">
        <v>395</v>
      </c>
      <c r="S407" s="13">
        <v>2.8865169632380942E-2</v>
      </c>
    </row>
    <row r="408" spans="18:19" x14ac:dyDescent="0.35">
      <c r="R408">
        <v>396</v>
      </c>
      <c r="S408" s="13">
        <v>1.1751292161238183E-2</v>
      </c>
    </row>
    <row r="409" spans="18:19" x14ac:dyDescent="0.35">
      <c r="R409">
        <v>397</v>
      </c>
      <c r="S409" s="13">
        <v>1.6925873683114896E-2</v>
      </c>
    </row>
    <row r="410" spans="18:19" x14ac:dyDescent="0.35">
      <c r="R410">
        <v>398</v>
      </c>
      <c r="S410" s="13">
        <v>2.3122036555900956E-2</v>
      </c>
    </row>
    <row r="411" spans="18:19" x14ac:dyDescent="0.35">
      <c r="R411">
        <v>399</v>
      </c>
      <c r="S411" s="13">
        <v>4.1762384537944147E-2</v>
      </c>
    </row>
    <row r="412" spans="18:19" x14ac:dyDescent="0.35">
      <c r="R412">
        <v>400</v>
      </c>
      <c r="S412" s="13">
        <v>1.8850645254783121E-2</v>
      </c>
    </row>
    <row r="413" spans="18:19" x14ac:dyDescent="0.35">
      <c r="R413">
        <v>401</v>
      </c>
      <c r="S413" s="13">
        <v>8.338547792756024E-3</v>
      </c>
    </row>
    <row r="414" spans="18:19" x14ac:dyDescent="0.35">
      <c r="R414">
        <v>402</v>
      </c>
      <c r="S414" s="13">
        <v>2.4070286160639581E-2</v>
      </c>
    </row>
    <row r="415" spans="18:19" x14ac:dyDescent="0.35">
      <c r="R415">
        <v>403</v>
      </c>
      <c r="S415" s="13">
        <v>2.4778441104977518E-2</v>
      </c>
    </row>
    <row r="416" spans="18:19" x14ac:dyDescent="0.35">
      <c r="R416">
        <v>404</v>
      </c>
      <c r="S416" s="13">
        <v>3.5044364702314784E-3</v>
      </c>
    </row>
    <row r="417" spans="18:19" x14ac:dyDescent="0.35">
      <c r="R417">
        <v>405</v>
      </c>
      <c r="S417" s="13">
        <v>-6.5939693591320764E-5</v>
      </c>
    </row>
    <row r="418" spans="18:19" x14ac:dyDescent="0.35">
      <c r="R418">
        <v>406</v>
      </c>
      <c r="S418" s="13">
        <v>1.4537183177577295E-2</v>
      </c>
    </row>
    <row r="419" spans="18:19" x14ac:dyDescent="0.35">
      <c r="R419">
        <v>407</v>
      </c>
      <c r="S419" s="13">
        <v>1.2441346300983962E-2</v>
      </c>
    </row>
    <row r="420" spans="18:19" x14ac:dyDescent="0.35">
      <c r="R420">
        <v>408</v>
      </c>
      <c r="S420" s="13">
        <v>1.93196718635655E-2</v>
      </c>
    </row>
    <row r="421" spans="18:19" x14ac:dyDescent="0.35">
      <c r="R421">
        <v>409</v>
      </c>
      <c r="S421" s="13">
        <v>4.1086687232463823E-3</v>
      </c>
    </row>
    <row r="422" spans="18:19" x14ac:dyDescent="0.35">
      <c r="R422">
        <v>410</v>
      </c>
      <c r="S422" s="13">
        <v>4.437132461562205E-3</v>
      </c>
    </row>
    <row r="423" spans="18:19" x14ac:dyDescent="0.35">
      <c r="R423">
        <v>411</v>
      </c>
      <c r="S423" s="13">
        <v>2.5352700359081669E-2</v>
      </c>
    </row>
    <row r="424" spans="18:19" x14ac:dyDescent="0.35">
      <c r="R424">
        <v>412</v>
      </c>
      <c r="S424" s="13">
        <v>7.5672604451952792E-3</v>
      </c>
    </row>
    <row r="425" spans="18:19" x14ac:dyDescent="0.35">
      <c r="R425">
        <v>413</v>
      </c>
      <c r="S425" s="13">
        <v>2.8131501541522705E-2</v>
      </c>
    </row>
    <row r="426" spans="18:19" x14ac:dyDescent="0.35">
      <c r="R426">
        <v>414</v>
      </c>
      <c r="S426" s="13">
        <v>3.5307980455980131E-2</v>
      </c>
    </row>
    <row r="427" spans="18:19" x14ac:dyDescent="0.35">
      <c r="R427">
        <v>415</v>
      </c>
      <c r="S427" s="13">
        <v>2.3956879282828535E-2</v>
      </c>
    </row>
    <row r="428" spans="18:19" x14ac:dyDescent="0.35">
      <c r="R428">
        <v>416</v>
      </c>
      <c r="S428" s="13">
        <v>3.4905010165961654E-3</v>
      </c>
    </row>
    <row r="429" spans="18:19" x14ac:dyDescent="0.35">
      <c r="R429">
        <v>417</v>
      </c>
      <c r="S429" s="13">
        <v>3.0101700077669814E-2</v>
      </c>
    </row>
    <row r="430" spans="18:19" x14ac:dyDescent="0.35">
      <c r="R430">
        <v>418</v>
      </c>
      <c r="S430" s="13">
        <v>2.8099866608790998E-2</v>
      </c>
    </row>
    <row r="431" spans="18:19" x14ac:dyDescent="0.35">
      <c r="R431">
        <v>419</v>
      </c>
      <c r="S431" s="13">
        <v>1.6945049042295102E-2</v>
      </c>
    </row>
    <row r="432" spans="18:19" x14ac:dyDescent="0.35">
      <c r="R432">
        <v>420</v>
      </c>
      <c r="S432" s="13">
        <v>2.4272799592521974E-2</v>
      </c>
    </row>
    <row r="433" spans="18:19" x14ac:dyDescent="0.35">
      <c r="R433">
        <v>421</v>
      </c>
      <c r="S433" s="13">
        <v>1.2112719993332795E-2</v>
      </c>
    </row>
    <row r="434" spans="18:19" x14ac:dyDescent="0.35">
      <c r="R434">
        <v>422</v>
      </c>
      <c r="S434" s="13">
        <v>3.7018904061220465E-2</v>
      </c>
    </row>
    <row r="435" spans="18:19" x14ac:dyDescent="0.35">
      <c r="R435">
        <v>423</v>
      </c>
      <c r="S435" s="13">
        <v>2.0749744409848621E-2</v>
      </c>
    </row>
    <row r="436" spans="18:19" x14ac:dyDescent="0.35">
      <c r="R436">
        <v>424</v>
      </c>
      <c r="S436" s="13">
        <v>1.0741106128161516E-3</v>
      </c>
    </row>
    <row r="437" spans="18:19" x14ac:dyDescent="0.35">
      <c r="R437">
        <v>425</v>
      </c>
      <c r="S437" s="13">
        <v>4.6354115311491681E-2</v>
      </c>
    </row>
    <row r="438" spans="18:19" x14ac:dyDescent="0.35">
      <c r="R438">
        <v>426</v>
      </c>
      <c r="S438" s="13">
        <v>1.4513905139284227E-2</v>
      </c>
    </row>
    <row r="439" spans="18:19" x14ac:dyDescent="0.35">
      <c r="R439">
        <v>427</v>
      </c>
      <c r="S439" s="13">
        <v>1.274156341970941E-2</v>
      </c>
    </row>
    <row r="440" spans="18:19" x14ac:dyDescent="0.35">
      <c r="R440">
        <v>428</v>
      </c>
      <c r="S440" s="13">
        <v>2.8852996193432658E-2</v>
      </c>
    </row>
    <row r="441" spans="18:19" x14ac:dyDescent="0.35">
      <c r="R441">
        <v>429</v>
      </c>
      <c r="S441" s="13">
        <v>2.4783359281517207E-2</v>
      </c>
    </row>
    <row r="442" spans="18:19" x14ac:dyDescent="0.35">
      <c r="R442">
        <v>430</v>
      </c>
      <c r="S442" s="13">
        <v>3.0652565665483893E-2</v>
      </c>
    </row>
    <row r="443" spans="18:19" x14ac:dyDescent="0.35">
      <c r="R443">
        <v>431</v>
      </c>
      <c r="S443" s="13">
        <v>1.8655598090018953E-2</v>
      </c>
    </row>
    <row r="444" spans="18:19" x14ac:dyDescent="0.35">
      <c r="R444">
        <v>432</v>
      </c>
      <c r="S444" s="13">
        <v>3.4239552886170178E-2</v>
      </c>
    </row>
    <row r="445" spans="18:19" x14ac:dyDescent="0.35">
      <c r="R445">
        <v>433</v>
      </c>
      <c r="S445" s="13">
        <v>2.403808282149978E-2</v>
      </c>
    </row>
    <row r="446" spans="18:19" x14ac:dyDescent="0.35">
      <c r="R446">
        <v>434</v>
      </c>
      <c r="S446" s="13">
        <v>3.261390878637923E-2</v>
      </c>
    </row>
    <row r="447" spans="18:19" x14ac:dyDescent="0.35">
      <c r="R447">
        <v>435</v>
      </c>
      <c r="S447" s="13">
        <v>-1.5350427532876895E-3</v>
      </c>
    </row>
    <row r="448" spans="18:19" x14ac:dyDescent="0.35">
      <c r="R448">
        <v>436</v>
      </c>
      <c r="S448" s="13">
        <v>3.9401996149782098E-2</v>
      </c>
    </row>
    <row r="449" spans="18:19" x14ac:dyDescent="0.35">
      <c r="R449">
        <v>437</v>
      </c>
      <c r="S449" s="13">
        <v>1.0822827449466815E-2</v>
      </c>
    </row>
    <row r="450" spans="18:19" x14ac:dyDescent="0.35">
      <c r="R450">
        <v>438</v>
      </c>
      <c r="S450" s="13">
        <v>1.4134373977024162E-3</v>
      </c>
    </row>
    <row r="451" spans="18:19" x14ac:dyDescent="0.35">
      <c r="R451">
        <v>439</v>
      </c>
      <c r="S451" s="13">
        <v>7.14495137820839E-3</v>
      </c>
    </row>
    <row r="452" spans="18:19" x14ac:dyDescent="0.35">
      <c r="R452">
        <v>440</v>
      </c>
      <c r="S452" s="13">
        <v>5.3144548446204184E-4</v>
      </c>
    </row>
    <row r="453" spans="18:19" x14ac:dyDescent="0.35">
      <c r="R453">
        <v>441</v>
      </c>
      <c r="S453" s="13">
        <v>2.0493010462927185E-2</v>
      </c>
    </row>
    <row r="454" spans="18:19" x14ac:dyDescent="0.35">
      <c r="R454">
        <v>442</v>
      </c>
      <c r="S454" s="13">
        <v>2.9367956697395933E-2</v>
      </c>
    </row>
    <row r="455" spans="18:19" x14ac:dyDescent="0.35">
      <c r="R455">
        <v>443</v>
      </c>
      <c r="S455" s="13">
        <v>3.3512182972001696E-2</v>
      </c>
    </row>
    <row r="456" spans="18:19" x14ac:dyDescent="0.35">
      <c r="R456">
        <v>444</v>
      </c>
      <c r="S456" s="13">
        <v>3.0867648657610623E-2</v>
      </c>
    </row>
    <row r="457" spans="18:19" x14ac:dyDescent="0.35">
      <c r="R457">
        <v>445</v>
      </c>
      <c r="S457" s="13">
        <v>1.5480503346015816E-2</v>
      </c>
    </row>
    <row r="458" spans="18:19" x14ac:dyDescent="0.35">
      <c r="R458">
        <v>446</v>
      </c>
      <c r="S458" s="13">
        <v>1.3871761130757427E-2</v>
      </c>
    </row>
    <row r="459" spans="18:19" x14ac:dyDescent="0.35">
      <c r="R459">
        <v>447</v>
      </c>
      <c r="S459" s="13">
        <v>2.4550087031545553E-2</v>
      </c>
    </row>
    <row r="460" spans="18:19" x14ac:dyDescent="0.35">
      <c r="R460">
        <v>448</v>
      </c>
      <c r="S460" s="13">
        <v>1.3774944330311487E-2</v>
      </c>
    </row>
    <row r="461" spans="18:19" x14ac:dyDescent="0.35">
      <c r="R461">
        <v>449</v>
      </c>
      <c r="S461" s="13">
        <v>2.4371447031989957E-2</v>
      </c>
    </row>
    <row r="462" spans="18:19" x14ac:dyDescent="0.35">
      <c r="R462">
        <v>450</v>
      </c>
      <c r="S462" s="13">
        <v>2.7468961747903663E-2</v>
      </c>
    </row>
    <row r="463" spans="18:19" x14ac:dyDescent="0.35">
      <c r="R463">
        <v>451</v>
      </c>
      <c r="S463" s="13">
        <v>2.6253267753659913E-2</v>
      </c>
    </row>
    <row r="464" spans="18:19" x14ac:dyDescent="0.35">
      <c r="R464">
        <v>452</v>
      </c>
      <c r="S464" s="13">
        <v>6.4575972882920524E-3</v>
      </c>
    </row>
    <row r="465" spans="18:19" x14ac:dyDescent="0.35">
      <c r="R465">
        <v>453</v>
      </c>
      <c r="S465" s="13">
        <v>1.3834602356532909E-2</v>
      </c>
    </row>
    <row r="466" spans="18:19" x14ac:dyDescent="0.35">
      <c r="R466">
        <v>454</v>
      </c>
      <c r="S466" s="13">
        <v>1.7600018533470214E-2</v>
      </c>
    </row>
    <row r="467" spans="18:19" x14ac:dyDescent="0.35">
      <c r="R467">
        <v>455</v>
      </c>
      <c r="S467" s="13">
        <v>4.1875355160529516E-2</v>
      </c>
    </row>
    <row r="468" spans="18:19" x14ac:dyDescent="0.35">
      <c r="R468">
        <v>456</v>
      </c>
      <c r="S468" s="13">
        <v>3.8289453825747014E-3</v>
      </c>
    </row>
    <row r="469" spans="18:19" x14ac:dyDescent="0.35">
      <c r="R469">
        <v>457</v>
      </c>
      <c r="S469" s="13">
        <v>1.4733479196841714E-2</v>
      </c>
    </row>
    <row r="470" spans="18:19" x14ac:dyDescent="0.35">
      <c r="R470">
        <v>458</v>
      </c>
      <c r="S470" s="13">
        <v>1.8151081241887263E-2</v>
      </c>
    </row>
    <row r="471" spans="18:19" x14ac:dyDescent="0.35">
      <c r="R471">
        <v>459</v>
      </c>
      <c r="S471" s="13">
        <v>1.4927402100393719E-2</v>
      </c>
    </row>
    <row r="472" spans="18:19" x14ac:dyDescent="0.35">
      <c r="R472">
        <v>460</v>
      </c>
      <c r="S472" s="13">
        <v>1.1211321734128943E-2</v>
      </c>
    </row>
    <row r="473" spans="18:19" x14ac:dyDescent="0.35">
      <c r="R473">
        <v>461</v>
      </c>
      <c r="S473" s="13">
        <v>1.0079918869403234E-2</v>
      </c>
    </row>
    <row r="474" spans="18:19" x14ac:dyDescent="0.35">
      <c r="R474">
        <v>462</v>
      </c>
      <c r="S474" s="13">
        <v>2.1415921166677527E-2</v>
      </c>
    </row>
    <row r="475" spans="18:19" x14ac:dyDescent="0.35">
      <c r="R475">
        <v>463</v>
      </c>
      <c r="S475" s="13">
        <v>2.8253961343267218E-2</v>
      </c>
    </row>
    <row r="476" spans="18:19" x14ac:dyDescent="0.35">
      <c r="R476">
        <v>464</v>
      </c>
      <c r="S476" s="13">
        <v>2.2983773744707833E-2</v>
      </c>
    </row>
    <row r="477" spans="18:19" x14ac:dyDescent="0.35">
      <c r="R477">
        <v>465</v>
      </c>
      <c r="S477" s="13">
        <v>2.0854592345495918E-2</v>
      </c>
    </row>
    <row r="478" spans="18:19" x14ac:dyDescent="0.35">
      <c r="R478">
        <v>466</v>
      </c>
      <c r="S478" s="13">
        <v>3.911872291479402E-2</v>
      </c>
    </row>
    <row r="479" spans="18:19" x14ac:dyDescent="0.35">
      <c r="R479">
        <v>467</v>
      </c>
      <c r="S479" s="13">
        <v>5.9229993158532463E-3</v>
      </c>
    </row>
    <row r="480" spans="18:19" x14ac:dyDescent="0.35">
      <c r="R480">
        <v>468</v>
      </c>
      <c r="S480" s="13">
        <v>1.6700340500186484E-2</v>
      </c>
    </row>
    <row r="481" spans="18:19" x14ac:dyDescent="0.35">
      <c r="R481">
        <v>469</v>
      </c>
      <c r="S481" s="13">
        <v>8.036955434445164E-3</v>
      </c>
    </row>
    <row r="482" spans="18:19" x14ac:dyDescent="0.35">
      <c r="R482">
        <v>470</v>
      </c>
      <c r="S482" s="13">
        <v>1.6011434764162703E-2</v>
      </c>
    </row>
    <row r="483" spans="18:19" x14ac:dyDescent="0.35">
      <c r="R483">
        <v>471</v>
      </c>
      <c r="S483" s="13">
        <v>3.4247698796075129E-3</v>
      </c>
    </row>
    <row r="484" spans="18:19" x14ac:dyDescent="0.35">
      <c r="R484">
        <v>472</v>
      </c>
      <c r="S484" s="13">
        <v>9.1063099985257707E-3</v>
      </c>
    </row>
    <row r="485" spans="18:19" x14ac:dyDescent="0.35">
      <c r="R485">
        <v>473</v>
      </c>
      <c r="S485" s="13">
        <v>3.1683223515441075E-2</v>
      </c>
    </row>
    <row r="486" spans="18:19" x14ac:dyDescent="0.35">
      <c r="R486">
        <v>474</v>
      </c>
      <c r="S486" s="13">
        <v>2.1272661276644771E-2</v>
      </c>
    </row>
    <row r="487" spans="18:19" x14ac:dyDescent="0.35">
      <c r="R487">
        <v>475</v>
      </c>
      <c r="S487" s="13">
        <v>-1.1518638607930839E-2</v>
      </c>
    </row>
    <row r="488" spans="18:19" x14ac:dyDescent="0.35">
      <c r="R488">
        <v>476</v>
      </c>
      <c r="S488" s="13">
        <v>1.3386631677720494E-2</v>
      </c>
    </row>
    <row r="489" spans="18:19" x14ac:dyDescent="0.35">
      <c r="R489">
        <v>477</v>
      </c>
      <c r="S489" s="13">
        <v>1.4556607791473358E-2</v>
      </c>
    </row>
    <row r="490" spans="18:19" x14ac:dyDescent="0.35">
      <c r="R490">
        <v>478</v>
      </c>
      <c r="S490" s="13">
        <v>7.8278955228231247E-3</v>
      </c>
    </row>
    <row r="491" spans="18:19" x14ac:dyDescent="0.35">
      <c r="R491">
        <v>479</v>
      </c>
      <c r="S491" s="13">
        <v>9.3070271966061748E-3</v>
      </c>
    </row>
    <row r="492" spans="18:19" x14ac:dyDescent="0.35">
      <c r="R492">
        <v>480</v>
      </c>
      <c r="S492" s="13">
        <v>1.7385955809678718E-2</v>
      </c>
    </row>
    <row r="493" spans="18:19" x14ac:dyDescent="0.35">
      <c r="R493">
        <v>481</v>
      </c>
      <c r="S493" s="13">
        <v>3.2266694764703001E-2</v>
      </c>
    </row>
    <row r="494" spans="18:19" x14ac:dyDescent="0.35">
      <c r="R494">
        <v>482</v>
      </c>
      <c r="S494" s="13">
        <v>1.7825986491020709E-2</v>
      </c>
    </row>
    <row r="495" spans="18:19" x14ac:dyDescent="0.35">
      <c r="R495">
        <v>483</v>
      </c>
      <c r="S495" s="13">
        <v>-3.8154543923988211E-3</v>
      </c>
    </row>
    <row r="496" spans="18:19" x14ac:dyDescent="0.35">
      <c r="R496">
        <v>484</v>
      </c>
      <c r="S496" s="13">
        <v>1.3182849836393108E-2</v>
      </c>
    </row>
    <row r="497" spans="18:19" x14ac:dyDescent="0.35">
      <c r="R497">
        <v>485</v>
      </c>
      <c r="S497" s="13">
        <v>2.1316347159388765E-2</v>
      </c>
    </row>
    <row r="498" spans="18:19" x14ac:dyDescent="0.35">
      <c r="R498">
        <v>486</v>
      </c>
      <c r="S498" s="13">
        <v>2.2493928674268249E-2</v>
      </c>
    </row>
    <row r="499" spans="18:19" x14ac:dyDescent="0.35">
      <c r="R499">
        <v>487</v>
      </c>
      <c r="S499" s="13">
        <v>1.9652674144478806E-2</v>
      </c>
    </row>
    <row r="500" spans="18:19" x14ac:dyDescent="0.35">
      <c r="R500">
        <v>488</v>
      </c>
      <c r="S500" s="13">
        <v>2.1720016684999913E-2</v>
      </c>
    </row>
    <row r="501" spans="18:19" x14ac:dyDescent="0.35">
      <c r="R501">
        <v>489</v>
      </c>
      <c r="S501" s="13">
        <v>1.3263071218180196E-2</v>
      </c>
    </row>
    <row r="502" spans="18:19" x14ac:dyDescent="0.35">
      <c r="R502">
        <v>490</v>
      </c>
      <c r="S502" s="13">
        <v>3.5865809245859345E-3</v>
      </c>
    </row>
    <row r="503" spans="18:19" x14ac:dyDescent="0.35">
      <c r="R503">
        <v>491</v>
      </c>
      <c r="S503" s="13">
        <v>2.9154504682022159E-2</v>
      </c>
    </row>
    <row r="504" spans="18:19" x14ac:dyDescent="0.35">
      <c r="R504">
        <v>492</v>
      </c>
      <c r="S504" s="13">
        <v>3.0262264391349498E-2</v>
      </c>
    </row>
    <row r="505" spans="18:19" x14ac:dyDescent="0.35">
      <c r="R505">
        <v>493</v>
      </c>
      <c r="S505" s="13">
        <v>1.7853286619515712E-2</v>
      </c>
    </row>
    <row r="506" spans="18:19" x14ac:dyDescent="0.35">
      <c r="R506">
        <v>494</v>
      </c>
      <c r="S506" s="13">
        <v>2.5701585369920232E-3</v>
      </c>
    </row>
    <row r="507" spans="18:19" x14ac:dyDescent="0.35">
      <c r="R507">
        <v>495</v>
      </c>
      <c r="S507" s="13">
        <v>1.9097194654428273E-2</v>
      </c>
    </row>
    <row r="508" spans="18:19" x14ac:dyDescent="0.35">
      <c r="R508">
        <v>496</v>
      </c>
      <c r="S508" s="13">
        <v>7.6523416846155188E-3</v>
      </c>
    </row>
    <row r="509" spans="18:19" x14ac:dyDescent="0.35">
      <c r="R509">
        <v>497</v>
      </c>
      <c r="S509" s="13">
        <v>4.4459944092033535E-3</v>
      </c>
    </row>
    <row r="510" spans="18:19" x14ac:dyDescent="0.35">
      <c r="R510">
        <v>498</v>
      </c>
      <c r="S510" s="13">
        <v>3.4848683397700711E-2</v>
      </c>
    </row>
    <row r="511" spans="18:19" x14ac:dyDescent="0.35">
      <c r="R511">
        <v>499</v>
      </c>
      <c r="S511" s="13">
        <v>2.2059584112783855E-2</v>
      </c>
    </row>
    <row r="512" spans="18:19" x14ac:dyDescent="0.35">
      <c r="R512">
        <v>500</v>
      </c>
      <c r="S512" s="13">
        <v>1.3285958026252074E-2</v>
      </c>
    </row>
    <row r="513" spans="18:19" x14ac:dyDescent="0.35">
      <c r="R513">
        <v>501</v>
      </c>
      <c r="S513" s="13">
        <v>1.1490297111281002E-3</v>
      </c>
    </row>
    <row r="514" spans="18:19" x14ac:dyDescent="0.35">
      <c r="R514">
        <v>502</v>
      </c>
      <c r="S514" s="13">
        <v>1.7978668467031011E-2</v>
      </c>
    </row>
    <row r="515" spans="18:19" x14ac:dyDescent="0.35">
      <c r="R515">
        <v>503</v>
      </c>
      <c r="S515" s="13">
        <v>2.9324719654063428E-2</v>
      </c>
    </row>
    <row r="516" spans="18:19" x14ac:dyDescent="0.35">
      <c r="R516">
        <v>504</v>
      </c>
      <c r="S516" s="13">
        <v>1.9498119389165236E-3</v>
      </c>
    </row>
    <row r="517" spans="18:19" x14ac:dyDescent="0.35">
      <c r="R517">
        <v>505</v>
      </c>
      <c r="S517" s="13">
        <v>1.2553927420141511E-2</v>
      </c>
    </row>
    <row r="518" spans="18:19" x14ac:dyDescent="0.35">
      <c r="R518">
        <v>506</v>
      </c>
      <c r="S518" s="13">
        <v>9.6934524022337237E-3</v>
      </c>
    </row>
    <row r="519" spans="18:19" x14ac:dyDescent="0.35">
      <c r="R519">
        <v>507</v>
      </c>
      <c r="S519" s="13">
        <v>1.7346929807362178E-2</v>
      </c>
    </row>
    <row r="520" spans="18:19" x14ac:dyDescent="0.35">
      <c r="R520">
        <v>508</v>
      </c>
      <c r="S520" s="13">
        <v>2.6224563269935535E-2</v>
      </c>
    </row>
    <row r="521" spans="18:19" x14ac:dyDescent="0.35">
      <c r="R521">
        <v>509</v>
      </c>
      <c r="S521" s="13">
        <v>3.4525750038832327E-2</v>
      </c>
    </row>
    <row r="522" spans="18:19" x14ac:dyDescent="0.35">
      <c r="R522">
        <v>510</v>
      </c>
      <c r="S522" s="13">
        <v>3.0448650739265407E-2</v>
      </c>
    </row>
    <row r="523" spans="18:19" x14ac:dyDescent="0.35">
      <c r="R523">
        <v>511</v>
      </c>
      <c r="S523" s="13">
        <v>3.2011024525426243E-2</v>
      </c>
    </row>
    <row r="524" spans="18:19" x14ac:dyDescent="0.35">
      <c r="R524">
        <v>512</v>
      </c>
      <c r="S524" s="13">
        <v>1.064619699282455E-2</v>
      </c>
    </row>
    <row r="525" spans="18:19" x14ac:dyDescent="0.35">
      <c r="R525">
        <v>513</v>
      </c>
      <c r="S525" s="13">
        <v>2.5477563784384875E-2</v>
      </c>
    </row>
    <row r="526" spans="18:19" x14ac:dyDescent="0.35">
      <c r="R526">
        <v>514</v>
      </c>
      <c r="S526" s="13">
        <v>3.188648931423007E-3</v>
      </c>
    </row>
    <row r="527" spans="18:19" x14ac:dyDescent="0.35">
      <c r="R527">
        <v>515</v>
      </c>
      <c r="S527" s="13">
        <v>2.4222859944137982E-2</v>
      </c>
    </row>
    <row r="528" spans="18:19" x14ac:dyDescent="0.35">
      <c r="R528">
        <v>516</v>
      </c>
      <c r="S528" s="13">
        <v>1.8631771858023859E-2</v>
      </c>
    </row>
    <row r="529" spans="18:19" x14ac:dyDescent="0.35">
      <c r="R529">
        <v>517</v>
      </c>
      <c r="S529" s="13">
        <v>3.5015523508067352E-2</v>
      </c>
    </row>
    <row r="530" spans="18:19" x14ac:dyDescent="0.35">
      <c r="R530">
        <v>518</v>
      </c>
      <c r="S530" s="13">
        <v>3.3749149164709891E-2</v>
      </c>
    </row>
    <row r="531" spans="18:19" x14ac:dyDescent="0.35">
      <c r="R531">
        <v>519</v>
      </c>
      <c r="S531" s="13">
        <v>2.2175321609078112E-2</v>
      </c>
    </row>
    <row r="532" spans="18:19" x14ac:dyDescent="0.35">
      <c r="R532">
        <v>520</v>
      </c>
      <c r="S532" s="13">
        <v>7.184665118352758E-3</v>
      </c>
    </row>
    <row r="533" spans="18:19" x14ac:dyDescent="0.35">
      <c r="R533">
        <v>521</v>
      </c>
      <c r="S533" s="13">
        <v>4.0187336963708964E-2</v>
      </c>
    </row>
    <row r="534" spans="18:19" x14ac:dyDescent="0.35">
      <c r="R534">
        <v>522</v>
      </c>
      <c r="S534" s="13">
        <v>2.7070903990291127E-2</v>
      </c>
    </row>
    <row r="535" spans="18:19" x14ac:dyDescent="0.35">
      <c r="R535">
        <v>523</v>
      </c>
      <c r="S535" s="13">
        <v>2.201432454220089E-2</v>
      </c>
    </row>
    <row r="536" spans="18:19" x14ac:dyDescent="0.35">
      <c r="R536">
        <v>524</v>
      </c>
      <c r="S536" s="13">
        <v>1.4427246882717577E-2</v>
      </c>
    </row>
    <row r="537" spans="18:19" x14ac:dyDescent="0.35">
      <c r="R537">
        <v>525</v>
      </c>
      <c r="S537" s="13">
        <v>1.6816552189167423E-2</v>
      </c>
    </row>
    <row r="538" spans="18:19" x14ac:dyDescent="0.35">
      <c r="R538">
        <v>526</v>
      </c>
      <c r="S538" s="13">
        <v>1.5499358588867401E-2</v>
      </c>
    </row>
    <row r="539" spans="18:19" x14ac:dyDescent="0.35">
      <c r="R539">
        <v>527</v>
      </c>
      <c r="S539" s="13">
        <v>1.2322846677775575E-2</v>
      </c>
    </row>
    <row r="540" spans="18:19" x14ac:dyDescent="0.35">
      <c r="R540">
        <v>528</v>
      </c>
      <c r="S540" s="13">
        <v>1.9668227095807643E-2</v>
      </c>
    </row>
    <row r="541" spans="18:19" x14ac:dyDescent="0.35">
      <c r="R541">
        <v>529</v>
      </c>
      <c r="S541" s="13">
        <v>7.4339329793063572E-3</v>
      </c>
    </row>
    <row r="542" spans="18:19" x14ac:dyDescent="0.35">
      <c r="R542">
        <v>530</v>
      </c>
      <c r="S542" s="13">
        <v>2.6493846515085365E-2</v>
      </c>
    </row>
    <row r="543" spans="18:19" x14ac:dyDescent="0.35">
      <c r="R543">
        <v>531</v>
      </c>
      <c r="S543" s="13">
        <v>2.1532805784879733E-2</v>
      </c>
    </row>
    <row r="544" spans="18:19" x14ac:dyDescent="0.35">
      <c r="R544">
        <v>532</v>
      </c>
      <c r="S544" s="13">
        <v>2.3864648899796247E-2</v>
      </c>
    </row>
    <row r="545" spans="18:19" x14ac:dyDescent="0.35">
      <c r="R545">
        <v>533</v>
      </c>
      <c r="S545" s="13">
        <v>2.9784170060136103E-3</v>
      </c>
    </row>
    <row r="546" spans="18:19" x14ac:dyDescent="0.35">
      <c r="R546">
        <v>534</v>
      </c>
      <c r="S546" s="13">
        <v>3.6806636960931616E-2</v>
      </c>
    </row>
    <row r="547" spans="18:19" x14ac:dyDescent="0.35">
      <c r="R547">
        <v>535</v>
      </c>
      <c r="S547" s="13">
        <v>2.6536341808851671E-2</v>
      </c>
    </row>
    <row r="548" spans="18:19" x14ac:dyDescent="0.35">
      <c r="R548">
        <v>536</v>
      </c>
      <c r="S548" s="13">
        <v>1.5309661396446789E-2</v>
      </c>
    </row>
    <row r="549" spans="18:19" x14ac:dyDescent="0.35">
      <c r="R549">
        <v>537</v>
      </c>
      <c r="S549" s="13">
        <v>2.6480771922775627E-2</v>
      </c>
    </row>
    <row r="550" spans="18:19" x14ac:dyDescent="0.35">
      <c r="R550">
        <v>538</v>
      </c>
      <c r="S550" s="13">
        <v>2.4704740544521542E-2</v>
      </c>
    </row>
    <row r="551" spans="18:19" x14ac:dyDescent="0.35">
      <c r="R551">
        <v>539</v>
      </c>
      <c r="S551" s="13">
        <v>1.3978620018110635E-2</v>
      </c>
    </row>
    <row r="552" spans="18:19" x14ac:dyDescent="0.35">
      <c r="R552">
        <v>540</v>
      </c>
      <c r="S552" s="13">
        <v>1.7955567660633848E-2</v>
      </c>
    </row>
    <row r="553" spans="18:19" x14ac:dyDescent="0.35">
      <c r="R553">
        <v>541</v>
      </c>
      <c r="S553" s="13">
        <v>1.6293572508028473E-2</v>
      </c>
    </row>
    <row r="554" spans="18:19" x14ac:dyDescent="0.35">
      <c r="R554">
        <v>542</v>
      </c>
      <c r="S554" s="13">
        <v>1.055892215659196E-2</v>
      </c>
    </row>
    <row r="555" spans="18:19" x14ac:dyDescent="0.35">
      <c r="R555">
        <v>543</v>
      </c>
      <c r="S555" s="13">
        <v>2.2097614639135572E-2</v>
      </c>
    </row>
    <row r="556" spans="18:19" x14ac:dyDescent="0.35">
      <c r="R556">
        <v>544</v>
      </c>
      <c r="S556" s="13">
        <v>2.5035625609005518E-2</v>
      </c>
    </row>
    <row r="557" spans="18:19" x14ac:dyDescent="0.35">
      <c r="R557">
        <v>545</v>
      </c>
      <c r="S557" s="13">
        <v>1.582737008788038E-2</v>
      </c>
    </row>
    <row r="558" spans="18:19" x14ac:dyDescent="0.35">
      <c r="R558">
        <v>546</v>
      </c>
      <c r="S558" s="13">
        <v>7.832190435080497E-3</v>
      </c>
    </row>
    <row r="559" spans="18:19" x14ac:dyDescent="0.35">
      <c r="R559">
        <v>547</v>
      </c>
      <c r="S559" s="13">
        <v>1.6768749131233201E-2</v>
      </c>
    </row>
    <row r="560" spans="18:19" x14ac:dyDescent="0.35">
      <c r="R560">
        <v>548</v>
      </c>
      <c r="S560" s="13">
        <v>2.2044002143405385E-2</v>
      </c>
    </row>
    <row r="561" spans="18:19" x14ac:dyDescent="0.35">
      <c r="R561">
        <v>549</v>
      </c>
      <c r="S561" s="13">
        <v>2.2808802680023717E-2</v>
      </c>
    </row>
    <row r="562" spans="18:19" x14ac:dyDescent="0.35">
      <c r="R562">
        <v>550</v>
      </c>
      <c r="S562" s="13">
        <v>4.0615070978065791E-2</v>
      </c>
    </row>
    <row r="563" spans="18:19" x14ac:dyDescent="0.35">
      <c r="R563">
        <v>551</v>
      </c>
      <c r="S563" s="13">
        <v>3.0309686848743383E-2</v>
      </c>
    </row>
    <row r="564" spans="18:19" x14ac:dyDescent="0.35">
      <c r="R564">
        <v>552</v>
      </c>
      <c r="S564" s="13">
        <v>3.1544055708596599E-2</v>
      </c>
    </row>
    <row r="565" spans="18:19" x14ac:dyDescent="0.35">
      <c r="R565">
        <v>553</v>
      </c>
      <c r="S565" s="13">
        <v>2.2693728659812076E-2</v>
      </c>
    </row>
    <row r="566" spans="18:19" x14ac:dyDescent="0.35">
      <c r="R566">
        <v>554</v>
      </c>
      <c r="S566" s="13">
        <v>1.6196189480153583E-2</v>
      </c>
    </row>
    <row r="567" spans="18:19" x14ac:dyDescent="0.35">
      <c r="R567">
        <v>555</v>
      </c>
      <c r="S567" s="13">
        <v>2.8144877355517687E-2</v>
      </c>
    </row>
    <row r="568" spans="18:19" x14ac:dyDescent="0.35">
      <c r="R568">
        <v>556</v>
      </c>
      <c r="S568" s="13">
        <v>2.1718692953060992E-2</v>
      </c>
    </row>
    <row r="569" spans="18:19" x14ac:dyDescent="0.35">
      <c r="R569">
        <v>557</v>
      </c>
      <c r="S569" s="13">
        <v>3.100214765449278E-2</v>
      </c>
    </row>
    <row r="570" spans="18:19" x14ac:dyDescent="0.35">
      <c r="R570">
        <v>558</v>
      </c>
      <c r="S570" s="13">
        <v>2.2625436690033116E-2</v>
      </c>
    </row>
    <row r="571" spans="18:19" x14ac:dyDescent="0.35">
      <c r="R571">
        <v>559</v>
      </c>
      <c r="S571" s="13">
        <v>1.1179063634492937E-2</v>
      </c>
    </row>
    <row r="572" spans="18:19" x14ac:dyDescent="0.35">
      <c r="R572">
        <v>560</v>
      </c>
      <c r="S572" s="13">
        <v>7.4361397372713339E-3</v>
      </c>
    </row>
    <row r="573" spans="18:19" x14ac:dyDescent="0.35">
      <c r="R573">
        <v>561</v>
      </c>
      <c r="S573" s="13">
        <v>1.2353318558127787E-2</v>
      </c>
    </row>
    <row r="574" spans="18:19" x14ac:dyDescent="0.35">
      <c r="R574">
        <v>562</v>
      </c>
      <c r="S574" s="13">
        <v>3.118106638915534E-3</v>
      </c>
    </row>
    <row r="575" spans="18:19" x14ac:dyDescent="0.35">
      <c r="R575">
        <v>563</v>
      </c>
      <c r="S575" s="13">
        <v>1.3435630510044073E-2</v>
      </c>
    </row>
    <row r="576" spans="18:19" x14ac:dyDescent="0.35">
      <c r="R576">
        <v>564</v>
      </c>
      <c r="S576" s="13">
        <v>2.4788057935531023E-2</v>
      </c>
    </row>
    <row r="577" spans="18:19" x14ac:dyDescent="0.35">
      <c r="R577">
        <v>565</v>
      </c>
      <c r="S577" s="13">
        <v>1.8125622935030426E-2</v>
      </c>
    </row>
    <row r="578" spans="18:19" x14ac:dyDescent="0.35">
      <c r="R578">
        <v>566</v>
      </c>
      <c r="S578" s="13">
        <v>1.9264075860587124E-2</v>
      </c>
    </row>
    <row r="579" spans="18:19" x14ac:dyDescent="0.35">
      <c r="R579">
        <v>567</v>
      </c>
      <c r="S579" s="13">
        <v>9.3461578212345759E-3</v>
      </c>
    </row>
    <row r="580" spans="18:19" x14ac:dyDescent="0.35">
      <c r="R580">
        <v>568</v>
      </c>
      <c r="S580" s="13">
        <v>2.1762077568046337E-2</v>
      </c>
    </row>
    <row r="581" spans="18:19" x14ac:dyDescent="0.35">
      <c r="R581">
        <v>569</v>
      </c>
      <c r="S581" s="13">
        <v>1.2502252832017335E-2</v>
      </c>
    </row>
    <row r="582" spans="18:19" x14ac:dyDescent="0.35">
      <c r="R582">
        <v>570</v>
      </c>
      <c r="S582" s="13">
        <v>1.9408420701992283E-2</v>
      </c>
    </row>
    <row r="583" spans="18:19" x14ac:dyDescent="0.35">
      <c r="R583">
        <v>571</v>
      </c>
      <c r="S583" s="13">
        <v>1.2387897373969888E-2</v>
      </c>
    </row>
    <row r="584" spans="18:19" x14ac:dyDescent="0.35">
      <c r="R584">
        <v>572</v>
      </c>
      <c r="S584" s="13">
        <v>-1.2372673688280409E-2</v>
      </c>
    </row>
    <row r="585" spans="18:19" x14ac:dyDescent="0.35">
      <c r="R585">
        <v>573</v>
      </c>
      <c r="S585" s="13">
        <v>2.4554472585417861E-2</v>
      </c>
    </row>
    <row r="586" spans="18:19" x14ac:dyDescent="0.35">
      <c r="R586">
        <v>574</v>
      </c>
      <c r="S586" s="13">
        <v>1.9945387711013108E-2</v>
      </c>
    </row>
    <row r="587" spans="18:19" x14ac:dyDescent="0.35">
      <c r="R587">
        <v>575</v>
      </c>
      <c r="S587" s="13">
        <v>1.9942640216791652E-2</v>
      </c>
    </row>
    <row r="588" spans="18:19" x14ac:dyDescent="0.35">
      <c r="R588">
        <v>576</v>
      </c>
      <c r="S588" s="13">
        <v>2.5526264474859457E-2</v>
      </c>
    </row>
    <row r="589" spans="18:19" x14ac:dyDescent="0.35">
      <c r="R589">
        <v>577</v>
      </c>
      <c r="S589" s="13">
        <v>2.1919495485766487E-2</v>
      </c>
    </row>
    <row r="590" spans="18:19" x14ac:dyDescent="0.35">
      <c r="R590">
        <v>578</v>
      </c>
      <c r="S590" s="13">
        <v>4.5724937749080374E-3</v>
      </c>
    </row>
    <row r="591" spans="18:19" x14ac:dyDescent="0.35">
      <c r="R591">
        <v>579</v>
      </c>
      <c r="S591" s="13">
        <v>1.7870802199972363E-2</v>
      </c>
    </row>
    <row r="592" spans="18:19" x14ac:dyDescent="0.35">
      <c r="R592">
        <v>580</v>
      </c>
      <c r="S592" s="13">
        <v>2.8088249850780497E-2</v>
      </c>
    </row>
    <row r="593" spans="18:19" x14ac:dyDescent="0.35">
      <c r="R593">
        <v>581</v>
      </c>
      <c r="S593" s="13">
        <v>2.7504192731339236E-2</v>
      </c>
    </row>
    <row r="594" spans="18:19" x14ac:dyDescent="0.35">
      <c r="R594">
        <v>582</v>
      </c>
      <c r="S594" s="13">
        <v>1.510371812117692E-2</v>
      </c>
    </row>
    <row r="595" spans="18:19" x14ac:dyDescent="0.35">
      <c r="R595">
        <v>583</v>
      </c>
      <c r="S595" s="13">
        <v>2.907824579649243E-2</v>
      </c>
    </row>
    <row r="596" spans="18:19" x14ac:dyDescent="0.35">
      <c r="R596">
        <v>584</v>
      </c>
      <c r="S596" s="13">
        <v>2.4030478763371575E-2</v>
      </c>
    </row>
    <row r="597" spans="18:19" x14ac:dyDescent="0.35">
      <c r="R597">
        <v>585</v>
      </c>
      <c r="S597" s="13">
        <v>3.7995698678930323E-2</v>
      </c>
    </row>
    <row r="598" spans="18:19" x14ac:dyDescent="0.35">
      <c r="R598">
        <v>586</v>
      </c>
      <c r="S598" s="13">
        <v>1.9692437970410825E-2</v>
      </c>
    </row>
    <row r="599" spans="18:19" x14ac:dyDescent="0.35">
      <c r="R599">
        <v>587</v>
      </c>
      <c r="S599" s="13">
        <v>7.8796507672678033E-3</v>
      </c>
    </row>
    <row r="600" spans="18:19" x14ac:dyDescent="0.35">
      <c r="R600">
        <v>588</v>
      </c>
      <c r="S600" s="13">
        <v>2.4232397926523826E-2</v>
      </c>
    </row>
    <row r="601" spans="18:19" x14ac:dyDescent="0.35">
      <c r="R601">
        <v>589</v>
      </c>
      <c r="S601" s="13">
        <v>4.116702268312105E-2</v>
      </c>
    </row>
    <row r="602" spans="18:19" x14ac:dyDescent="0.35">
      <c r="R602">
        <v>590</v>
      </c>
      <c r="S602" s="13">
        <v>3.4220362296917051E-2</v>
      </c>
    </row>
    <row r="603" spans="18:19" x14ac:dyDescent="0.35">
      <c r="R603">
        <v>591</v>
      </c>
      <c r="S603" s="13">
        <v>2.0931073868633167E-2</v>
      </c>
    </row>
    <row r="604" spans="18:19" x14ac:dyDescent="0.35">
      <c r="R604">
        <v>592</v>
      </c>
      <c r="S604" s="13">
        <v>3.2541955498797459E-2</v>
      </c>
    </row>
    <row r="605" spans="18:19" x14ac:dyDescent="0.35">
      <c r="R605">
        <v>593</v>
      </c>
      <c r="S605" s="13">
        <v>1.0226985589516962E-2</v>
      </c>
    </row>
    <row r="606" spans="18:19" x14ac:dyDescent="0.35">
      <c r="R606">
        <v>594</v>
      </c>
      <c r="S606" s="13">
        <v>2.6055243317031844E-2</v>
      </c>
    </row>
    <row r="607" spans="18:19" x14ac:dyDescent="0.35">
      <c r="R607">
        <v>595</v>
      </c>
      <c r="S607" s="13">
        <v>2.9351305360250761E-2</v>
      </c>
    </row>
    <row r="608" spans="18:19" x14ac:dyDescent="0.35">
      <c r="R608">
        <v>596</v>
      </c>
      <c r="S608" s="13">
        <v>8.3094185557023234E-3</v>
      </c>
    </row>
    <row r="609" spans="18:19" x14ac:dyDescent="0.35">
      <c r="R609">
        <v>597</v>
      </c>
      <c r="S609" s="13">
        <v>4.5415600524820049E-2</v>
      </c>
    </row>
    <row r="610" spans="18:19" x14ac:dyDescent="0.35">
      <c r="R610">
        <v>598</v>
      </c>
      <c r="S610" s="13">
        <v>1.9509633182062003E-2</v>
      </c>
    </row>
    <row r="611" spans="18:19" x14ac:dyDescent="0.35">
      <c r="R611">
        <v>599</v>
      </c>
      <c r="S611" s="13">
        <v>7.5594151910266822E-3</v>
      </c>
    </row>
    <row r="612" spans="18:19" x14ac:dyDescent="0.35">
      <c r="R612">
        <v>600</v>
      </c>
      <c r="S612" s="13">
        <v>1.2876442151024722E-2</v>
      </c>
    </row>
    <row r="613" spans="18:19" x14ac:dyDescent="0.35">
      <c r="R613">
        <v>601</v>
      </c>
      <c r="S613" s="13">
        <v>2.9824573400479008E-2</v>
      </c>
    </row>
    <row r="614" spans="18:19" x14ac:dyDescent="0.35">
      <c r="R614">
        <v>602</v>
      </c>
      <c r="S614" s="13">
        <v>3.817169330029594E-2</v>
      </c>
    </row>
    <row r="615" spans="18:19" x14ac:dyDescent="0.35">
      <c r="R615">
        <v>603</v>
      </c>
      <c r="S615" s="13">
        <v>2.2020968964227193E-2</v>
      </c>
    </row>
    <row r="616" spans="18:19" x14ac:dyDescent="0.35">
      <c r="R616">
        <v>604</v>
      </c>
      <c r="S616" s="13">
        <v>3.0053276148777258E-2</v>
      </c>
    </row>
    <row r="617" spans="18:19" x14ac:dyDescent="0.35">
      <c r="R617">
        <v>605</v>
      </c>
      <c r="S617" s="13">
        <v>3.9492613764439896E-3</v>
      </c>
    </row>
    <row r="618" spans="18:19" x14ac:dyDescent="0.35">
      <c r="R618">
        <v>606</v>
      </c>
      <c r="S618" s="13">
        <v>1.811468914301731E-2</v>
      </c>
    </row>
    <row r="619" spans="18:19" x14ac:dyDescent="0.35">
      <c r="R619">
        <v>607</v>
      </c>
      <c r="S619" s="13">
        <v>7.9825089586881524E-3</v>
      </c>
    </row>
    <row r="620" spans="18:19" x14ac:dyDescent="0.35">
      <c r="R620">
        <v>608</v>
      </c>
      <c r="S620" s="13">
        <v>1.193836188094983E-2</v>
      </c>
    </row>
    <row r="621" spans="18:19" x14ac:dyDescent="0.35">
      <c r="R621">
        <v>609</v>
      </c>
      <c r="S621" s="13">
        <v>3.5987625942839899E-2</v>
      </c>
    </row>
    <row r="622" spans="18:19" x14ac:dyDescent="0.35">
      <c r="R622">
        <v>610</v>
      </c>
      <c r="S622" s="13">
        <v>1.0769782651099822E-2</v>
      </c>
    </row>
    <row r="623" spans="18:19" x14ac:dyDescent="0.35">
      <c r="R623">
        <v>611</v>
      </c>
      <c r="S623" s="13">
        <v>2.6827599829781716E-2</v>
      </c>
    </row>
    <row r="624" spans="18:19" x14ac:dyDescent="0.35">
      <c r="R624">
        <v>612</v>
      </c>
      <c r="S624" s="13">
        <v>1.0113424461665195E-2</v>
      </c>
    </row>
    <row r="625" spans="18:19" x14ac:dyDescent="0.35">
      <c r="R625">
        <v>613</v>
      </c>
      <c r="S625" s="13">
        <v>2.6438908010293926E-2</v>
      </c>
    </row>
    <row r="626" spans="18:19" x14ac:dyDescent="0.35">
      <c r="R626">
        <v>614</v>
      </c>
      <c r="S626" s="13">
        <v>2.8551903799134679E-2</v>
      </c>
    </row>
    <row r="627" spans="18:19" x14ac:dyDescent="0.35">
      <c r="R627">
        <v>615</v>
      </c>
      <c r="S627" s="13">
        <v>1.6876423603002316E-2</v>
      </c>
    </row>
    <row r="628" spans="18:19" x14ac:dyDescent="0.35">
      <c r="R628">
        <v>616</v>
      </c>
      <c r="S628" s="13">
        <v>1.5549886310215876E-2</v>
      </c>
    </row>
    <row r="629" spans="18:19" x14ac:dyDescent="0.35">
      <c r="R629">
        <v>617</v>
      </c>
      <c r="S629" s="13">
        <v>1.5755138977967976E-2</v>
      </c>
    </row>
    <row r="630" spans="18:19" x14ac:dyDescent="0.35">
      <c r="R630">
        <v>618</v>
      </c>
      <c r="S630" s="13">
        <v>3.3220080403804794E-2</v>
      </c>
    </row>
    <row r="631" spans="18:19" x14ac:dyDescent="0.35">
      <c r="R631">
        <v>619</v>
      </c>
      <c r="S631" s="13">
        <v>2.2427852322847133E-2</v>
      </c>
    </row>
    <row r="632" spans="18:19" x14ac:dyDescent="0.35">
      <c r="R632">
        <v>620</v>
      </c>
      <c r="S632" s="13">
        <v>1.4293837508469649E-2</v>
      </c>
    </row>
    <row r="633" spans="18:19" x14ac:dyDescent="0.35">
      <c r="R633">
        <v>621</v>
      </c>
      <c r="S633" s="13">
        <v>1.6344106999968692E-2</v>
      </c>
    </row>
    <row r="634" spans="18:19" x14ac:dyDescent="0.35">
      <c r="R634">
        <v>622</v>
      </c>
      <c r="S634" s="13">
        <v>1.9984520929289509E-2</v>
      </c>
    </row>
    <row r="635" spans="18:19" x14ac:dyDescent="0.35">
      <c r="R635">
        <v>623</v>
      </c>
      <c r="S635" s="13">
        <v>1.5863944687238327E-2</v>
      </c>
    </row>
    <row r="636" spans="18:19" x14ac:dyDescent="0.35">
      <c r="R636">
        <v>624</v>
      </c>
      <c r="S636" s="13">
        <v>1.5650783287062379E-2</v>
      </c>
    </row>
    <row r="637" spans="18:19" x14ac:dyDescent="0.35">
      <c r="R637">
        <v>625</v>
      </c>
      <c r="S637" s="13">
        <v>2.3221269411652357E-2</v>
      </c>
    </row>
    <row r="638" spans="18:19" x14ac:dyDescent="0.35">
      <c r="R638">
        <v>626</v>
      </c>
      <c r="S638" s="13">
        <v>1.2595323259877472E-2</v>
      </c>
    </row>
    <row r="639" spans="18:19" x14ac:dyDescent="0.35">
      <c r="R639">
        <v>627</v>
      </c>
      <c r="S639" s="13">
        <v>2.3027357424396894E-2</v>
      </c>
    </row>
    <row r="640" spans="18:19" x14ac:dyDescent="0.35">
      <c r="R640">
        <v>628</v>
      </c>
      <c r="S640" s="13">
        <v>2.4914975396932847E-2</v>
      </c>
    </row>
    <row r="641" spans="18:19" x14ac:dyDescent="0.35">
      <c r="R641">
        <v>629</v>
      </c>
      <c r="S641" s="13">
        <v>1.05225100806205E-2</v>
      </c>
    </row>
    <row r="642" spans="18:19" x14ac:dyDescent="0.35">
      <c r="R642">
        <v>630</v>
      </c>
      <c r="S642" s="13">
        <v>1.832858647050796E-2</v>
      </c>
    </row>
    <row r="643" spans="18:19" x14ac:dyDescent="0.35">
      <c r="R643">
        <v>631</v>
      </c>
      <c r="S643" s="13">
        <v>2.0418533266368454E-2</v>
      </c>
    </row>
    <row r="644" spans="18:19" x14ac:dyDescent="0.35">
      <c r="R644">
        <v>632</v>
      </c>
      <c r="S644" s="13">
        <v>2.193560724770419E-2</v>
      </c>
    </row>
    <row r="645" spans="18:19" x14ac:dyDescent="0.35">
      <c r="R645">
        <v>633</v>
      </c>
      <c r="S645" s="13">
        <v>4.5393311446148311E-3</v>
      </c>
    </row>
    <row r="646" spans="18:19" x14ac:dyDescent="0.35">
      <c r="R646">
        <v>634</v>
      </c>
      <c r="S646" s="13">
        <v>1.4429960829807586E-2</v>
      </c>
    </row>
    <row r="647" spans="18:19" x14ac:dyDescent="0.35">
      <c r="R647">
        <v>635</v>
      </c>
      <c r="S647" s="13">
        <v>2.3674223195717325E-2</v>
      </c>
    </row>
    <row r="648" spans="18:19" x14ac:dyDescent="0.35">
      <c r="R648">
        <v>636</v>
      </c>
      <c r="S648" s="13">
        <v>8.6036588587641346E-3</v>
      </c>
    </row>
    <row r="649" spans="18:19" x14ac:dyDescent="0.35">
      <c r="R649">
        <v>637</v>
      </c>
      <c r="S649" s="13">
        <v>6.673904677012208E-3</v>
      </c>
    </row>
    <row r="650" spans="18:19" x14ac:dyDescent="0.35">
      <c r="R650">
        <v>638</v>
      </c>
      <c r="S650" s="13">
        <v>1.420628661198E-2</v>
      </c>
    </row>
    <row r="651" spans="18:19" x14ac:dyDescent="0.35">
      <c r="R651">
        <v>639</v>
      </c>
      <c r="S651" s="13">
        <v>3.2264106459668311E-2</v>
      </c>
    </row>
    <row r="652" spans="18:19" x14ac:dyDescent="0.35">
      <c r="R652">
        <v>640</v>
      </c>
      <c r="S652" s="13">
        <v>2.7104148324579094E-2</v>
      </c>
    </row>
    <row r="653" spans="18:19" x14ac:dyDescent="0.35">
      <c r="R653">
        <v>641</v>
      </c>
      <c r="S653" s="13">
        <v>2.9561998414178038E-2</v>
      </c>
    </row>
    <row r="654" spans="18:19" x14ac:dyDescent="0.35">
      <c r="R654">
        <v>642</v>
      </c>
      <c r="S654" s="13">
        <v>3.6190041069832639E-2</v>
      </c>
    </row>
    <row r="655" spans="18:19" x14ac:dyDescent="0.35">
      <c r="R655">
        <v>643</v>
      </c>
      <c r="S655" s="13">
        <v>7.459910201266795E-3</v>
      </c>
    </row>
    <row r="656" spans="18:19" x14ac:dyDescent="0.35">
      <c r="R656">
        <v>644</v>
      </c>
      <c r="S656" s="13">
        <v>1.3851243811206507E-2</v>
      </c>
    </row>
    <row r="657" spans="18:19" x14ac:dyDescent="0.35">
      <c r="R657">
        <v>645</v>
      </c>
      <c r="S657" s="13">
        <v>3.5193112208305878E-2</v>
      </c>
    </row>
    <row r="658" spans="18:19" x14ac:dyDescent="0.35">
      <c r="R658">
        <v>646</v>
      </c>
      <c r="S658" s="13">
        <v>2.0291178392629537E-2</v>
      </c>
    </row>
    <row r="659" spans="18:19" x14ac:dyDescent="0.35">
      <c r="R659">
        <v>647</v>
      </c>
      <c r="S659" s="13">
        <v>2.3616116718445233E-2</v>
      </c>
    </row>
    <row r="660" spans="18:19" x14ac:dyDescent="0.35">
      <c r="R660">
        <v>648</v>
      </c>
      <c r="S660" s="13">
        <v>1.9419294578877234E-2</v>
      </c>
    </row>
    <row r="661" spans="18:19" x14ac:dyDescent="0.35">
      <c r="R661">
        <v>649</v>
      </c>
      <c r="S661" s="13">
        <v>1.2899622955856803E-2</v>
      </c>
    </row>
    <row r="662" spans="18:19" x14ac:dyDescent="0.35">
      <c r="R662">
        <v>650</v>
      </c>
      <c r="S662" s="13">
        <v>1.2688210537904986E-2</v>
      </c>
    </row>
    <row r="663" spans="18:19" x14ac:dyDescent="0.35">
      <c r="R663">
        <v>651</v>
      </c>
      <c r="S663" s="13">
        <v>4.237690873169303E-3</v>
      </c>
    </row>
    <row r="664" spans="18:19" x14ac:dyDescent="0.35">
      <c r="R664">
        <v>652</v>
      </c>
      <c r="S664" s="13">
        <v>2.8919388173118388E-2</v>
      </c>
    </row>
    <row r="665" spans="18:19" x14ac:dyDescent="0.35">
      <c r="R665">
        <v>653</v>
      </c>
      <c r="S665" s="13">
        <v>-3.802063407439514E-4</v>
      </c>
    </row>
    <row r="666" spans="18:19" x14ac:dyDescent="0.35">
      <c r="R666">
        <v>654</v>
      </c>
      <c r="S666" s="13">
        <v>1.6915623779441596E-2</v>
      </c>
    </row>
    <row r="667" spans="18:19" x14ac:dyDescent="0.35">
      <c r="R667">
        <v>655</v>
      </c>
      <c r="S667" s="13">
        <v>1.5325407809840784E-2</v>
      </c>
    </row>
    <row r="668" spans="18:19" x14ac:dyDescent="0.35">
      <c r="R668">
        <v>656</v>
      </c>
      <c r="S668" s="13">
        <v>3.2622460496569708E-2</v>
      </c>
    </row>
    <row r="669" spans="18:19" x14ac:dyDescent="0.35">
      <c r="R669">
        <v>657</v>
      </c>
      <c r="S669" s="13">
        <v>1.5376360098757825E-2</v>
      </c>
    </row>
    <row r="670" spans="18:19" x14ac:dyDescent="0.35">
      <c r="R670">
        <v>658</v>
      </c>
      <c r="S670" s="13">
        <v>2.0800307093465354E-2</v>
      </c>
    </row>
    <row r="671" spans="18:19" x14ac:dyDescent="0.35">
      <c r="R671">
        <v>659</v>
      </c>
      <c r="S671" s="13">
        <v>2.2172459291907674E-2</v>
      </c>
    </row>
    <row r="672" spans="18:19" x14ac:dyDescent="0.35">
      <c r="R672">
        <v>660</v>
      </c>
      <c r="S672" s="13">
        <v>2.628134382181941E-2</v>
      </c>
    </row>
    <row r="673" spans="18:19" x14ac:dyDescent="0.35">
      <c r="R673">
        <v>661</v>
      </c>
      <c r="S673" s="13">
        <v>2.2142557471259275E-2</v>
      </c>
    </row>
    <row r="674" spans="18:19" x14ac:dyDescent="0.35">
      <c r="R674">
        <v>662</v>
      </c>
      <c r="S674" s="13">
        <v>3.2381567666629661E-2</v>
      </c>
    </row>
    <row r="675" spans="18:19" x14ac:dyDescent="0.35">
      <c r="R675">
        <v>663</v>
      </c>
      <c r="S675" s="13">
        <v>1.7606594142768883E-2</v>
      </c>
    </row>
    <row r="676" spans="18:19" x14ac:dyDescent="0.35">
      <c r="R676">
        <v>664</v>
      </c>
      <c r="S676" s="13">
        <v>2.22282407625468E-2</v>
      </c>
    </row>
    <row r="677" spans="18:19" x14ac:dyDescent="0.35">
      <c r="R677">
        <v>665</v>
      </c>
      <c r="S677" s="13">
        <v>2.345326714494823E-2</v>
      </c>
    </row>
    <row r="678" spans="18:19" x14ac:dyDescent="0.35">
      <c r="R678">
        <v>666</v>
      </c>
      <c r="S678" s="13">
        <v>1.1667698026754164E-2</v>
      </c>
    </row>
    <row r="679" spans="18:19" x14ac:dyDescent="0.35">
      <c r="R679">
        <v>667</v>
      </c>
      <c r="S679" s="13">
        <v>2.9988127397280261E-2</v>
      </c>
    </row>
    <row r="680" spans="18:19" x14ac:dyDescent="0.35">
      <c r="R680">
        <v>668</v>
      </c>
      <c r="S680" s="13">
        <v>2.438778759899151E-2</v>
      </c>
    </row>
    <row r="681" spans="18:19" x14ac:dyDescent="0.35">
      <c r="R681">
        <v>669</v>
      </c>
      <c r="S681" s="13">
        <v>3.9248509266978378E-2</v>
      </c>
    </row>
    <row r="682" spans="18:19" x14ac:dyDescent="0.35">
      <c r="R682">
        <v>670</v>
      </c>
      <c r="S682" s="13">
        <v>8.4786294992848597E-3</v>
      </c>
    </row>
    <row r="683" spans="18:19" x14ac:dyDescent="0.35">
      <c r="R683">
        <v>671</v>
      </c>
      <c r="S683" s="13">
        <v>2.5773510973357276E-2</v>
      </c>
    </row>
    <row r="684" spans="18:19" x14ac:dyDescent="0.35">
      <c r="R684">
        <v>672</v>
      </c>
      <c r="S684" s="13">
        <v>1.8998225130068592E-2</v>
      </c>
    </row>
    <row r="685" spans="18:19" x14ac:dyDescent="0.35">
      <c r="R685">
        <v>673</v>
      </c>
      <c r="S685" s="13">
        <v>1.1193136634154683E-2</v>
      </c>
    </row>
    <row r="686" spans="18:19" x14ac:dyDescent="0.35">
      <c r="R686">
        <v>674</v>
      </c>
      <c r="S686" s="13">
        <v>2.8378729203964101E-3</v>
      </c>
    </row>
    <row r="687" spans="18:19" x14ac:dyDescent="0.35">
      <c r="R687">
        <v>675</v>
      </c>
      <c r="S687" s="13">
        <v>1.6091211662338678E-2</v>
      </c>
    </row>
    <row r="688" spans="18:19" x14ac:dyDescent="0.35">
      <c r="R688">
        <v>676</v>
      </c>
      <c r="S688" s="13">
        <v>1.8078435358982979E-2</v>
      </c>
    </row>
    <row r="689" spans="18:19" x14ac:dyDescent="0.35">
      <c r="R689">
        <v>677</v>
      </c>
      <c r="S689" s="13">
        <v>1.5938548901499081E-2</v>
      </c>
    </row>
    <row r="690" spans="18:19" x14ac:dyDescent="0.35">
      <c r="R690">
        <v>678</v>
      </c>
      <c r="S690" s="13">
        <v>2.8717486433715085E-2</v>
      </c>
    </row>
    <row r="691" spans="18:19" x14ac:dyDescent="0.35">
      <c r="R691">
        <v>679</v>
      </c>
      <c r="S691" s="13">
        <v>1.5346361160932459E-2</v>
      </c>
    </row>
    <row r="692" spans="18:19" x14ac:dyDescent="0.35">
      <c r="R692">
        <v>680</v>
      </c>
      <c r="S692" s="13">
        <v>3.2582569225782634E-2</v>
      </c>
    </row>
    <row r="693" spans="18:19" x14ac:dyDescent="0.35">
      <c r="R693">
        <v>681</v>
      </c>
      <c r="S693" s="13">
        <v>7.9740870200151904E-3</v>
      </c>
    </row>
    <row r="694" spans="18:19" x14ac:dyDescent="0.35">
      <c r="R694">
        <v>682</v>
      </c>
      <c r="S694" s="13">
        <v>2.3264234771375208E-2</v>
      </c>
    </row>
    <row r="695" spans="18:19" x14ac:dyDescent="0.35">
      <c r="R695">
        <v>683</v>
      </c>
      <c r="S695" s="13">
        <v>2.2359517210219532E-2</v>
      </c>
    </row>
    <row r="696" spans="18:19" x14ac:dyDescent="0.35">
      <c r="R696">
        <v>684</v>
      </c>
      <c r="S696" s="13">
        <v>1.6263672101782166E-2</v>
      </c>
    </row>
    <row r="697" spans="18:19" x14ac:dyDescent="0.35">
      <c r="R697">
        <v>685</v>
      </c>
      <c r="S697" s="13">
        <v>3.079020194765298E-2</v>
      </c>
    </row>
    <row r="698" spans="18:19" x14ac:dyDescent="0.35">
      <c r="R698">
        <v>686</v>
      </c>
      <c r="S698" s="13">
        <v>1.636819250206482E-2</v>
      </c>
    </row>
    <row r="699" spans="18:19" x14ac:dyDescent="0.35">
      <c r="R699">
        <v>687</v>
      </c>
      <c r="S699" s="13">
        <v>2.2726236525827975E-2</v>
      </c>
    </row>
    <row r="700" spans="18:19" x14ac:dyDescent="0.35">
      <c r="R700">
        <v>688</v>
      </c>
      <c r="S700" s="13">
        <v>9.3504469105123566E-3</v>
      </c>
    </row>
    <row r="701" spans="18:19" x14ac:dyDescent="0.35">
      <c r="R701">
        <v>689</v>
      </c>
      <c r="S701" s="13">
        <v>2.2678477760765477E-2</v>
      </c>
    </row>
    <row r="702" spans="18:19" x14ac:dyDescent="0.35">
      <c r="R702">
        <v>690</v>
      </c>
      <c r="S702" s="13">
        <v>3.8996128408018312E-2</v>
      </c>
    </row>
    <row r="703" spans="18:19" x14ac:dyDescent="0.35">
      <c r="R703">
        <v>691</v>
      </c>
      <c r="S703" s="13">
        <v>2.5094271549689358E-2</v>
      </c>
    </row>
    <row r="704" spans="18:19" x14ac:dyDescent="0.35">
      <c r="R704">
        <v>692</v>
      </c>
      <c r="S704" s="13">
        <v>2.4746999705602988E-2</v>
      </c>
    </row>
    <row r="705" spans="18:19" x14ac:dyDescent="0.35">
      <c r="R705">
        <v>693</v>
      </c>
      <c r="S705" s="13">
        <v>2.465678997423542E-3</v>
      </c>
    </row>
    <row r="706" spans="18:19" x14ac:dyDescent="0.35">
      <c r="R706">
        <v>694</v>
      </c>
      <c r="S706" s="13">
        <v>1.2195310351325764E-2</v>
      </c>
    </row>
    <row r="707" spans="18:19" x14ac:dyDescent="0.35">
      <c r="R707">
        <v>695</v>
      </c>
      <c r="S707" s="13">
        <v>1.6220844731054451E-2</v>
      </c>
    </row>
    <row r="708" spans="18:19" x14ac:dyDescent="0.35">
      <c r="R708">
        <v>696</v>
      </c>
      <c r="S708" s="13">
        <v>3.4069961219890491E-2</v>
      </c>
    </row>
    <row r="709" spans="18:19" x14ac:dyDescent="0.35">
      <c r="R709">
        <v>697</v>
      </c>
      <c r="S709" s="13">
        <v>2.3251235377344883E-2</v>
      </c>
    </row>
    <row r="710" spans="18:19" x14ac:dyDescent="0.35">
      <c r="R710">
        <v>698</v>
      </c>
      <c r="S710" s="13">
        <v>2.9749927356818154E-2</v>
      </c>
    </row>
    <row r="711" spans="18:19" x14ac:dyDescent="0.35">
      <c r="R711">
        <v>699</v>
      </c>
      <c r="S711" s="13">
        <v>3.751761392123712E-2</v>
      </c>
    </row>
    <row r="712" spans="18:19" x14ac:dyDescent="0.35">
      <c r="R712">
        <v>700</v>
      </c>
      <c r="S712" s="13">
        <v>2.5265030669471639E-2</v>
      </c>
    </row>
    <row r="713" spans="18:19" x14ac:dyDescent="0.35">
      <c r="R713">
        <v>701</v>
      </c>
      <c r="S713" s="13">
        <v>3.9874803376365953E-2</v>
      </c>
    </row>
    <row r="714" spans="18:19" x14ac:dyDescent="0.35">
      <c r="R714">
        <v>702</v>
      </c>
      <c r="S714" s="13">
        <v>7.1503180138596783E-3</v>
      </c>
    </row>
    <row r="715" spans="18:19" x14ac:dyDescent="0.35">
      <c r="R715">
        <v>703</v>
      </c>
      <c r="S715" s="13">
        <v>1.8811351178741519E-2</v>
      </c>
    </row>
    <row r="716" spans="18:19" x14ac:dyDescent="0.35">
      <c r="R716">
        <v>704</v>
      </c>
      <c r="S716" s="13">
        <v>4.0325115223404207E-2</v>
      </c>
    </row>
    <row r="717" spans="18:19" x14ac:dyDescent="0.35">
      <c r="R717">
        <v>705</v>
      </c>
      <c r="S717" s="13">
        <v>1.7063831015840469E-2</v>
      </c>
    </row>
    <row r="718" spans="18:19" x14ac:dyDescent="0.35">
      <c r="R718">
        <v>706</v>
      </c>
      <c r="S718" s="13">
        <v>2.5615426943872407E-2</v>
      </c>
    </row>
    <row r="719" spans="18:19" x14ac:dyDescent="0.35">
      <c r="R719">
        <v>707</v>
      </c>
      <c r="S719" s="13">
        <v>2.0142952722369968E-2</v>
      </c>
    </row>
    <row r="720" spans="18:19" x14ac:dyDescent="0.35">
      <c r="R720">
        <v>708</v>
      </c>
      <c r="S720" s="13">
        <v>1.6897267938959241E-2</v>
      </c>
    </row>
    <row r="721" spans="18:19" x14ac:dyDescent="0.35">
      <c r="R721">
        <v>709</v>
      </c>
      <c r="S721" s="13">
        <v>2.794214251613876E-2</v>
      </c>
    </row>
    <row r="722" spans="18:19" x14ac:dyDescent="0.35">
      <c r="R722">
        <v>710</v>
      </c>
      <c r="S722" s="13">
        <v>3.8041145901345545E-2</v>
      </c>
    </row>
    <row r="723" spans="18:19" x14ac:dyDescent="0.35">
      <c r="R723">
        <v>711</v>
      </c>
      <c r="S723" s="13">
        <v>9.4013155695908696E-3</v>
      </c>
    </row>
    <row r="724" spans="18:19" x14ac:dyDescent="0.35">
      <c r="R724">
        <v>712</v>
      </c>
      <c r="S724" s="13">
        <v>-2.240930000795012E-3</v>
      </c>
    </row>
    <row r="725" spans="18:19" x14ac:dyDescent="0.35">
      <c r="R725">
        <v>713</v>
      </c>
      <c r="S725" s="13">
        <v>2.4445069791825581E-2</v>
      </c>
    </row>
    <row r="726" spans="18:19" x14ac:dyDescent="0.35">
      <c r="R726">
        <v>714</v>
      </c>
      <c r="S726" s="13">
        <v>2.3394113596321639E-2</v>
      </c>
    </row>
    <row r="727" spans="18:19" x14ac:dyDescent="0.35">
      <c r="R727">
        <v>715</v>
      </c>
      <c r="S727" s="13">
        <v>1.1093425042123793E-2</v>
      </c>
    </row>
    <row r="728" spans="18:19" x14ac:dyDescent="0.35">
      <c r="R728">
        <v>716</v>
      </c>
      <c r="S728" s="13">
        <v>8.3200950629550418E-3</v>
      </c>
    </row>
    <row r="729" spans="18:19" x14ac:dyDescent="0.35">
      <c r="R729">
        <v>717</v>
      </c>
      <c r="S729" s="13">
        <v>8.4251570160372696E-3</v>
      </c>
    </row>
    <row r="730" spans="18:19" x14ac:dyDescent="0.35">
      <c r="R730">
        <v>718</v>
      </c>
      <c r="S730" s="13">
        <v>3.3519589094131448E-2</v>
      </c>
    </row>
    <row r="731" spans="18:19" x14ac:dyDescent="0.35">
      <c r="R731">
        <v>719</v>
      </c>
      <c r="S731" s="13">
        <v>1.6775014419339058E-2</v>
      </c>
    </row>
    <row r="732" spans="18:19" x14ac:dyDescent="0.35">
      <c r="R732">
        <v>720</v>
      </c>
      <c r="S732" s="13">
        <v>-1.6295161112522411E-3</v>
      </c>
    </row>
    <row r="733" spans="18:19" x14ac:dyDescent="0.35">
      <c r="R733">
        <v>721</v>
      </c>
      <c r="S733" s="13">
        <v>1.5892620270339178E-3</v>
      </c>
    </row>
    <row r="734" spans="18:19" x14ac:dyDescent="0.35">
      <c r="R734">
        <v>722</v>
      </c>
      <c r="S734" s="13">
        <v>1.3163254791121896E-2</v>
      </c>
    </row>
    <row r="735" spans="18:19" x14ac:dyDescent="0.35">
      <c r="R735">
        <v>723</v>
      </c>
      <c r="S735" s="13">
        <v>2.5291372278911699E-2</v>
      </c>
    </row>
    <row r="736" spans="18:19" x14ac:dyDescent="0.35">
      <c r="R736">
        <v>724</v>
      </c>
      <c r="S736" s="13">
        <v>1.6900136752388193E-2</v>
      </c>
    </row>
    <row r="737" spans="18:19" x14ac:dyDescent="0.35">
      <c r="R737">
        <v>725</v>
      </c>
      <c r="S737" s="13">
        <v>1.5179507297661557E-2</v>
      </c>
    </row>
    <row r="738" spans="18:19" x14ac:dyDescent="0.35">
      <c r="R738">
        <v>726</v>
      </c>
      <c r="S738" s="13">
        <v>1.9477501061210371E-2</v>
      </c>
    </row>
    <row r="739" spans="18:19" x14ac:dyDescent="0.35">
      <c r="R739">
        <v>727</v>
      </c>
      <c r="S739" s="13">
        <v>2.8860007107870123E-2</v>
      </c>
    </row>
    <row r="740" spans="18:19" x14ac:dyDescent="0.35">
      <c r="R740">
        <v>728</v>
      </c>
      <c r="S740" s="13">
        <v>3.5361794422336702E-2</v>
      </c>
    </row>
    <row r="741" spans="18:19" x14ac:dyDescent="0.35">
      <c r="R741">
        <v>729</v>
      </c>
      <c r="S741" s="13">
        <v>2.039134311937477E-2</v>
      </c>
    </row>
    <row r="742" spans="18:19" x14ac:dyDescent="0.35">
      <c r="R742">
        <v>730</v>
      </c>
      <c r="S742" s="13">
        <v>1.9074887480171197E-2</v>
      </c>
    </row>
    <row r="743" spans="18:19" x14ac:dyDescent="0.35">
      <c r="R743">
        <v>731</v>
      </c>
      <c r="S743" s="13">
        <v>2.6167615061984537E-2</v>
      </c>
    </row>
    <row r="744" spans="18:19" x14ac:dyDescent="0.35">
      <c r="R744">
        <v>732</v>
      </c>
      <c r="S744" s="13">
        <v>1.1389529782379938E-2</v>
      </c>
    </row>
    <row r="745" spans="18:19" x14ac:dyDescent="0.35">
      <c r="R745">
        <v>733</v>
      </c>
      <c r="S745" s="13">
        <v>2.2694595258318628E-2</v>
      </c>
    </row>
    <row r="746" spans="18:19" x14ac:dyDescent="0.35">
      <c r="R746">
        <v>734</v>
      </c>
      <c r="S746" s="13">
        <v>2.7719309598904635E-2</v>
      </c>
    </row>
    <row r="747" spans="18:19" x14ac:dyDescent="0.35">
      <c r="R747">
        <v>735</v>
      </c>
      <c r="S747" s="13">
        <v>1.7078468224040553E-2</v>
      </c>
    </row>
    <row r="748" spans="18:19" x14ac:dyDescent="0.35">
      <c r="R748">
        <v>736</v>
      </c>
      <c r="S748" s="13">
        <v>1.7650573145199938E-2</v>
      </c>
    </row>
    <row r="749" spans="18:19" x14ac:dyDescent="0.35">
      <c r="R749">
        <v>737</v>
      </c>
      <c r="S749" s="13">
        <v>4.729844871581599E-3</v>
      </c>
    </row>
    <row r="750" spans="18:19" x14ac:dyDescent="0.35">
      <c r="R750">
        <v>738</v>
      </c>
      <c r="S750" s="13">
        <v>1.2223455911984782E-2</v>
      </c>
    </row>
    <row r="751" spans="18:19" x14ac:dyDescent="0.35">
      <c r="R751">
        <v>739</v>
      </c>
      <c r="S751" s="13">
        <v>2.1035684658216765E-2</v>
      </c>
    </row>
    <row r="752" spans="18:19" x14ac:dyDescent="0.35">
      <c r="R752">
        <v>740</v>
      </c>
      <c r="S752" s="13">
        <v>3.4921861424960114E-2</v>
      </c>
    </row>
    <row r="753" spans="18:19" x14ac:dyDescent="0.35">
      <c r="R753">
        <v>741</v>
      </c>
      <c r="S753" s="13">
        <v>1.2772728801975077E-2</v>
      </c>
    </row>
    <row r="754" spans="18:19" x14ac:dyDescent="0.35">
      <c r="R754">
        <v>742</v>
      </c>
      <c r="S754" s="13">
        <v>1.6194058077930094E-2</v>
      </c>
    </row>
    <row r="755" spans="18:19" x14ac:dyDescent="0.35">
      <c r="R755">
        <v>743</v>
      </c>
      <c r="S755" s="13">
        <v>1.9477778695100225E-2</v>
      </c>
    </row>
    <row r="756" spans="18:19" x14ac:dyDescent="0.35">
      <c r="R756">
        <v>744</v>
      </c>
      <c r="S756" s="13">
        <v>2.1896775427493239E-2</v>
      </c>
    </row>
    <row r="757" spans="18:19" x14ac:dyDescent="0.35">
      <c r="R757">
        <v>745</v>
      </c>
      <c r="S757" s="13">
        <v>1.9058195277476889E-2</v>
      </c>
    </row>
    <row r="758" spans="18:19" x14ac:dyDescent="0.35">
      <c r="R758">
        <v>746</v>
      </c>
      <c r="S758" s="13">
        <v>4.1761466578299211E-3</v>
      </c>
    </row>
    <row r="759" spans="18:19" x14ac:dyDescent="0.35">
      <c r="R759">
        <v>747</v>
      </c>
      <c r="S759" s="13">
        <v>2.5034878216859097E-2</v>
      </c>
    </row>
    <row r="760" spans="18:19" x14ac:dyDescent="0.35">
      <c r="R760">
        <v>748</v>
      </c>
      <c r="S760" s="13">
        <v>5.3254178513381951E-3</v>
      </c>
    </row>
    <row r="761" spans="18:19" x14ac:dyDescent="0.35">
      <c r="R761">
        <v>749</v>
      </c>
      <c r="S761" s="13">
        <v>1.1558257405881402E-2</v>
      </c>
    </row>
    <row r="762" spans="18:19" x14ac:dyDescent="0.35">
      <c r="R762">
        <v>750</v>
      </c>
      <c r="S762" s="13">
        <v>1.4277818292061071E-2</v>
      </c>
    </row>
    <row r="763" spans="18:19" x14ac:dyDescent="0.35">
      <c r="R763">
        <v>751</v>
      </c>
      <c r="S763" s="13">
        <v>4.9158551590404789E-4</v>
      </c>
    </row>
    <row r="764" spans="18:19" x14ac:dyDescent="0.35">
      <c r="R764">
        <v>752</v>
      </c>
      <c r="S764" s="13">
        <v>3.0864228319396898E-2</v>
      </c>
    </row>
    <row r="765" spans="18:19" x14ac:dyDescent="0.35">
      <c r="R765">
        <v>753</v>
      </c>
      <c r="S765" s="13">
        <v>1.8319131751093551E-2</v>
      </c>
    </row>
    <row r="766" spans="18:19" x14ac:dyDescent="0.35">
      <c r="R766">
        <v>754</v>
      </c>
      <c r="S766" s="13">
        <v>3.733770914146832E-2</v>
      </c>
    </row>
    <row r="767" spans="18:19" x14ac:dyDescent="0.35">
      <c r="R767">
        <v>755</v>
      </c>
      <c r="S767" s="13">
        <v>2.321663250527322E-2</v>
      </c>
    </row>
    <row r="768" spans="18:19" x14ac:dyDescent="0.35">
      <c r="R768">
        <v>756</v>
      </c>
      <c r="S768" s="13">
        <v>2.1360939722456181E-2</v>
      </c>
    </row>
    <row r="769" spans="18:19" x14ac:dyDescent="0.35">
      <c r="R769">
        <v>757</v>
      </c>
      <c r="S769" s="13">
        <v>2.3702133888187735E-2</v>
      </c>
    </row>
    <row r="770" spans="18:19" x14ac:dyDescent="0.35">
      <c r="R770">
        <v>758</v>
      </c>
      <c r="S770" s="13">
        <v>1.7113651072014999E-2</v>
      </c>
    </row>
    <row r="771" spans="18:19" x14ac:dyDescent="0.35">
      <c r="R771">
        <v>759</v>
      </c>
      <c r="S771" s="13">
        <v>1.679951709837332E-2</v>
      </c>
    </row>
    <row r="772" spans="18:19" x14ac:dyDescent="0.35">
      <c r="R772">
        <v>760</v>
      </c>
      <c r="S772" s="13">
        <v>1.9779840485621321E-3</v>
      </c>
    </row>
    <row r="773" spans="18:19" x14ac:dyDescent="0.35">
      <c r="R773">
        <v>761</v>
      </c>
      <c r="S773" s="13">
        <v>2.4656173276522884E-2</v>
      </c>
    </row>
    <row r="774" spans="18:19" x14ac:dyDescent="0.35">
      <c r="R774">
        <v>762</v>
      </c>
      <c r="S774" s="13">
        <v>1.2946199082118656E-2</v>
      </c>
    </row>
    <row r="775" spans="18:19" x14ac:dyDescent="0.35">
      <c r="R775">
        <v>763</v>
      </c>
      <c r="S775" s="13">
        <v>1.4557548886471688E-2</v>
      </c>
    </row>
    <row r="776" spans="18:19" x14ac:dyDescent="0.35">
      <c r="R776">
        <v>764</v>
      </c>
      <c r="S776" s="13">
        <v>2.5958257310108444E-2</v>
      </c>
    </row>
    <row r="777" spans="18:19" x14ac:dyDescent="0.35">
      <c r="R777">
        <v>765</v>
      </c>
      <c r="S777" s="13">
        <v>1.5673345190711976E-2</v>
      </c>
    </row>
    <row r="778" spans="18:19" x14ac:dyDescent="0.35">
      <c r="R778">
        <v>766</v>
      </c>
      <c r="S778" s="13">
        <v>2.9223240612350126E-2</v>
      </c>
    </row>
    <row r="779" spans="18:19" x14ac:dyDescent="0.35">
      <c r="R779">
        <v>767</v>
      </c>
      <c r="S779" s="13">
        <v>2.1579713176050303E-2</v>
      </c>
    </row>
    <row r="780" spans="18:19" x14ac:dyDescent="0.35">
      <c r="R780">
        <v>768</v>
      </c>
      <c r="S780" s="13">
        <v>2.2241926414787304E-2</v>
      </c>
    </row>
    <row r="781" spans="18:19" x14ac:dyDescent="0.35">
      <c r="R781">
        <v>769</v>
      </c>
      <c r="S781" s="13">
        <v>6.1529359517979963E-3</v>
      </c>
    </row>
    <row r="782" spans="18:19" x14ac:dyDescent="0.35">
      <c r="R782">
        <v>770</v>
      </c>
      <c r="S782" s="13">
        <v>2.3334224351573511E-2</v>
      </c>
    </row>
    <row r="783" spans="18:19" x14ac:dyDescent="0.35">
      <c r="R783">
        <v>771</v>
      </c>
      <c r="S783" s="13">
        <v>1.8706045386303209E-2</v>
      </c>
    </row>
    <row r="784" spans="18:19" x14ac:dyDescent="0.35">
      <c r="R784">
        <v>772</v>
      </c>
      <c r="S784" s="13">
        <v>2.0350684414096407E-2</v>
      </c>
    </row>
    <row r="785" spans="18:19" x14ac:dyDescent="0.35">
      <c r="R785">
        <v>773</v>
      </c>
      <c r="S785" s="13">
        <v>2.4175729385122389E-2</v>
      </c>
    </row>
    <row r="786" spans="18:19" x14ac:dyDescent="0.35">
      <c r="R786">
        <v>774</v>
      </c>
      <c r="S786" s="13">
        <v>2.8231847163992518E-3</v>
      </c>
    </row>
    <row r="787" spans="18:19" x14ac:dyDescent="0.35">
      <c r="R787">
        <v>775</v>
      </c>
      <c r="S787" s="13">
        <v>3.4816155648369457E-2</v>
      </c>
    </row>
    <row r="788" spans="18:19" x14ac:dyDescent="0.35">
      <c r="R788">
        <v>776</v>
      </c>
      <c r="S788" s="13">
        <v>1.6010875936470822E-2</v>
      </c>
    </row>
    <row r="789" spans="18:19" x14ac:dyDescent="0.35">
      <c r="R789">
        <v>777</v>
      </c>
      <c r="S789" s="13">
        <v>2.1403676321930153E-2</v>
      </c>
    </row>
    <row r="790" spans="18:19" x14ac:dyDescent="0.35">
      <c r="R790">
        <v>778</v>
      </c>
      <c r="S790" s="13">
        <v>9.9324094686048699E-3</v>
      </c>
    </row>
    <row r="791" spans="18:19" x14ac:dyDescent="0.35">
      <c r="R791">
        <v>779</v>
      </c>
      <c r="S791" s="13">
        <v>2.0297000467930721E-2</v>
      </c>
    </row>
    <row r="792" spans="18:19" x14ac:dyDescent="0.35">
      <c r="R792">
        <v>780</v>
      </c>
      <c r="S792" s="13">
        <v>2.7342549809184397E-2</v>
      </c>
    </row>
    <row r="793" spans="18:19" x14ac:dyDescent="0.35">
      <c r="R793">
        <v>781</v>
      </c>
      <c r="S793" s="13">
        <v>1.0952208179911117E-2</v>
      </c>
    </row>
    <row r="794" spans="18:19" x14ac:dyDescent="0.35">
      <c r="R794">
        <v>782</v>
      </c>
      <c r="S794" s="13">
        <v>2.3050713826084708E-2</v>
      </c>
    </row>
    <row r="795" spans="18:19" x14ac:dyDescent="0.35">
      <c r="R795">
        <v>783</v>
      </c>
      <c r="S795" s="13">
        <v>2.3705634585400665E-2</v>
      </c>
    </row>
    <row r="796" spans="18:19" x14ac:dyDescent="0.35">
      <c r="R796">
        <v>784</v>
      </c>
      <c r="S796" s="13">
        <v>3.4983571077076489E-2</v>
      </c>
    </row>
    <row r="797" spans="18:19" x14ac:dyDescent="0.35">
      <c r="R797">
        <v>785</v>
      </c>
      <c r="S797" s="13">
        <v>1.5192411711221352E-2</v>
      </c>
    </row>
    <row r="798" spans="18:19" x14ac:dyDescent="0.35">
      <c r="R798">
        <v>786</v>
      </c>
      <c r="S798" s="13">
        <v>1.6363388966965816E-2</v>
      </c>
    </row>
    <row r="799" spans="18:19" x14ac:dyDescent="0.35">
      <c r="R799">
        <v>787</v>
      </c>
      <c r="S799" s="13">
        <v>7.5922104581891119E-3</v>
      </c>
    </row>
    <row r="800" spans="18:19" x14ac:dyDescent="0.35">
      <c r="R800">
        <v>788</v>
      </c>
      <c r="S800" s="13">
        <v>1.0937183802051609E-2</v>
      </c>
    </row>
    <row r="801" spans="18:19" x14ac:dyDescent="0.35">
      <c r="R801">
        <v>789</v>
      </c>
      <c r="S801" s="13">
        <v>1.8624301197715125E-2</v>
      </c>
    </row>
    <row r="802" spans="18:19" x14ac:dyDescent="0.35">
      <c r="R802">
        <v>790</v>
      </c>
      <c r="S802" s="13">
        <v>1.8150914325010519E-2</v>
      </c>
    </row>
    <row r="803" spans="18:19" x14ac:dyDescent="0.35">
      <c r="R803">
        <v>791</v>
      </c>
      <c r="S803" s="13">
        <v>3.0910859362479629E-2</v>
      </c>
    </row>
    <row r="804" spans="18:19" x14ac:dyDescent="0.35">
      <c r="R804">
        <v>792</v>
      </c>
      <c r="S804" s="13">
        <v>1.2963416001149183E-2</v>
      </c>
    </row>
    <row r="805" spans="18:19" x14ac:dyDescent="0.35">
      <c r="R805">
        <v>793</v>
      </c>
      <c r="S805" s="13">
        <v>2.5927096798380969E-2</v>
      </c>
    </row>
    <row r="806" spans="18:19" x14ac:dyDescent="0.35">
      <c r="R806">
        <v>794</v>
      </c>
      <c r="S806" s="13">
        <v>6.7912430082036467E-3</v>
      </c>
    </row>
    <row r="807" spans="18:19" x14ac:dyDescent="0.35">
      <c r="R807">
        <v>795</v>
      </c>
      <c r="S807" s="13">
        <v>1.7948504215629355E-2</v>
      </c>
    </row>
    <row r="808" spans="18:19" x14ac:dyDescent="0.35">
      <c r="R808">
        <v>796</v>
      </c>
      <c r="S808" s="13">
        <v>1.3468686563520186E-2</v>
      </c>
    </row>
    <row r="809" spans="18:19" x14ac:dyDescent="0.35">
      <c r="R809">
        <v>797</v>
      </c>
      <c r="S809" s="13">
        <v>2.6329087045948902E-2</v>
      </c>
    </row>
    <row r="810" spans="18:19" x14ac:dyDescent="0.35">
      <c r="R810">
        <v>798</v>
      </c>
      <c r="S810" s="13">
        <v>3.1838312549323247E-2</v>
      </c>
    </row>
    <row r="811" spans="18:19" x14ac:dyDescent="0.35">
      <c r="R811">
        <v>799</v>
      </c>
      <c r="S811" s="13">
        <v>6.1562909180340273E-3</v>
      </c>
    </row>
    <row r="812" spans="18:19" x14ac:dyDescent="0.35">
      <c r="R812">
        <v>800</v>
      </c>
      <c r="S812" s="13">
        <v>1.6699582644420174E-2</v>
      </c>
    </row>
    <row r="813" spans="18:19" x14ac:dyDescent="0.35">
      <c r="R813">
        <v>801</v>
      </c>
      <c r="S813" s="13">
        <v>2.689128664819895E-2</v>
      </c>
    </row>
    <row r="814" spans="18:19" x14ac:dyDescent="0.35">
      <c r="R814">
        <v>802</v>
      </c>
      <c r="S814" s="13">
        <v>2.5929903657712642E-2</v>
      </c>
    </row>
    <row r="815" spans="18:19" x14ac:dyDescent="0.35">
      <c r="R815">
        <v>803</v>
      </c>
      <c r="S815" s="13">
        <v>1.6214586656333442E-2</v>
      </c>
    </row>
    <row r="816" spans="18:19" x14ac:dyDescent="0.35">
      <c r="R816">
        <v>804</v>
      </c>
      <c r="S816" s="13">
        <v>3.1023494717445602E-2</v>
      </c>
    </row>
    <row r="817" spans="18:19" x14ac:dyDescent="0.35">
      <c r="R817">
        <v>805</v>
      </c>
      <c r="S817" s="13">
        <v>1.7517924842917355E-2</v>
      </c>
    </row>
    <row r="818" spans="18:19" x14ac:dyDescent="0.35">
      <c r="R818">
        <v>806</v>
      </c>
      <c r="S818" s="13">
        <v>2.5248417456069223E-2</v>
      </c>
    </row>
    <row r="819" spans="18:19" x14ac:dyDescent="0.35">
      <c r="R819">
        <v>807</v>
      </c>
      <c r="S819" s="13">
        <v>1.0880841490233618E-2</v>
      </c>
    </row>
    <row r="820" spans="18:19" x14ac:dyDescent="0.35">
      <c r="R820">
        <v>808</v>
      </c>
      <c r="S820" s="13">
        <v>8.8459606083900761E-3</v>
      </c>
    </row>
    <row r="821" spans="18:19" x14ac:dyDescent="0.35">
      <c r="R821">
        <v>809</v>
      </c>
      <c r="S821" s="13">
        <v>1.8706573098959869E-2</v>
      </c>
    </row>
    <row r="822" spans="18:19" x14ac:dyDescent="0.35">
      <c r="R822">
        <v>810</v>
      </c>
      <c r="S822" s="13">
        <v>2.7313884940843219E-2</v>
      </c>
    </row>
    <row r="823" spans="18:19" x14ac:dyDescent="0.35">
      <c r="R823">
        <v>811</v>
      </c>
      <c r="S823" s="13">
        <v>1.6933451443842194E-2</v>
      </c>
    </row>
    <row r="824" spans="18:19" x14ac:dyDescent="0.35">
      <c r="R824">
        <v>812</v>
      </c>
      <c r="S824" s="13">
        <v>1.7459567144753552E-2</v>
      </c>
    </row>
    <row r="825" spans="18:19" x14ac:dyDescent="0.35">
      <c r="R825">
        <v>813</v>
      </c>
      <c r="S825" s="13">
        <v>1.6736974447079059E-2</v>
      </c>
    </row>
    <row r="826" spans="18:19" x14ac:dyDescent="0.35">
      <c r="R826">
        <v>814</v>
      </c>
      <c r="S826" s="13">
        <v>2.7468752869415445E-2</v>
      </c>
    </row>
    <row r="827" spans="18:19" x14ac:dyDescent="0.35">
      <c r="R827">
        <v>815</v>
      </c>
      <c r="S827" s="13">
        <v>2.3264280529638845E-2</v>
      </c>
    </row>
    <row r="828" spans="18:19" x14ac:dyDescent="0.35">
      <c r="R828">
        <v>816</v>
      </c>
      <c r="S828" s="13">
        <v>2.5766131305100699E-3</v>
      </c>
    </row>
    <row r="829" spans="18:19" x14ac:dyDescent="0.35">
      <c r="R829">
        <v>817</v>
      </c>
      <c r="S829" s="13">
        <v>3.233691382363986E-2</v>
      </c>
    </row>
    <row r="830" spans="18:19" x14ac:dyDescent="0.35">
      <c r="R830">
        <v>818</v>
      </c>
      <c r="S830" s="13">
        <v>2.1341037197271484E-2</v>
      </c>
    </row>
    <row r="831" spans="18:19" x14ac:dyDescent="0.35">
      <c r="R831">
        <v>819</v>
      </c>
      <c r="S831" s="13">
        <v>2.2332434721178459E-2</v>
      </c>
    </row>
    <row r="832" spans="18:19" x14ac:dyDescent="0.35">
      <c r="R832">
        <v>820</v>
      </c>
      <c r="S832" s="13">
        <v>7.799825450489373E-3</v>
      </c>
    </row>
    <row r="833" spans="18:19" x14ac:dyDescent="0.35">
      <c r="R833">
        <v>821</v>
      </c>
      <c r="S833" s="13">
        <v>7.2794516661405639E-3</v>
      </c>
    </row>
    <row r="834" spans="18:19" x14ac:dyDescent="0.35">
      <c r="R834">
        <v>822</v>
      </c>
      <c r="S834" s="13">
        <v>6.5013289116746375E-3</v>
      </c>
    </row>
    <row r="835" spans="18:19" x14ac:dyDescent="0.35">
      <c r="R835">
        <v>823</v>
      </c>
      <c r="S835" s="13">
        <v>2.1849885965025448E-2</v>
      </c>
    </row>
    <row r="836" spans="18:19" x14ac:dyDescent="0.35">
      <c r="R836">
        <v>824</v>
      </c>
      <c r="S836" s="13">
        <v>1.8489258312865228E-2</v>
      </c>
    </row>
    <row r="837" spans="18:19" x14ac:dyDescent="0.35">
      <c r="R837">
        <v>825</v>
      </c>
      <c r="S837" s="13">
        <v>2.2914707582849258E-2</v>
      </c>
    </row>
    <row r="838" spans="18:19" x14ac:dyDescent="0.35">
      <c r="R838">
        <v>826</v>
      </c>
      <c r="S838" s="13">
        <v>3.740614870142106E-2</v>
      </c>
    </row>
    <row r="839" spans="18:19" x14ac:dyDescent="0.35">
      <c r="R839">
        <v>827</v>
      </c>
      <c r="S839" s="13">
        <v>6.8600327018636872E-3</v>
      </c>
    </row>
    <row r="840" spans="18:19" x14ac:dyDescent="0.35">
      <c r="R840">
        <v>828</v>
      </c>
      <c r="S840" s="13">
        <v>2.2397368608845506E-2</v>
      </c>
    </row>
    <row r="841" spans="18:19" x14ac:dyDescent="0.35">
      <c r="R841">
        <v>829</v>
      </c>
      <c r="S841" s="13">
        <v>2.9359187711769201E-3</v>
      </c>
    </row>
    <row r="842" spans="18:19" x14ac:dyDescent="0.35">
      <c r="R842">
        <v>830</v>
      </c>
      <c r="S842" s="13">
        <v>2.0848335369673676E-2</v>
      </c>
    </row>
    <row r="843" spans="18:19" x14ac:dyDescent="0.35">
      <c r="R843">
        <v>831</v>
      </c>
      <c r="S843" s="13">
        <v>2.2958197047466902E-2</v>
      </c>
    </row>
    <row r="844" spans="18:19" x14ac:dyDescent="0.35">
      <c r="R844">
        <v>832</v>
      </c>
      <c r="S844" s="13">
        <v>2.5413887113377481E-2</v>
      </c>
    </row>
    <row r="845" spans="18:19" x14ac:dyDescent="0.35">
      <c r="R845">
        <v>833</v>
      </c>
      <c r="S845" s="13">
        <v>2.5414524739996489E-2</v>
      </c>
    </row>
    <row r="846" spans="18:19" x14ac:dyDescent="0.35">
      <c r="R846">
        <v>834</v>
      </c>
      <c r="S846" s="13">
        <v>9.710937100771682E-3</v>
      </c>
    </row>
    <row r="847" spans="18:19" x14ac:dyDescent="0.35">
      <c r="R847">
        <v>835</v>
      </c>
      <c r="S847" s="13">
        <v>3.1561891988599655E-2</v>
      </c>
    </row>
    <row r="848" spans="18:19" x14ac:dyDescent="0.35">
      <c r="R848">
        <v>836</v>
      </c>
      <c r="S848" s="13">
        <v>-5.8494850149075697E-4</v>
      </c>
    </row>
    <row r="849" spans="18:19" x14ac:dyDescent="0.35">
      <c r="R849">
        <v>837</v>
      </c>
      <c r="S849" s="13">
        <v>1.4419678017267349E-2</v>
      </c>
    </row>
    <row r="850" spans="18:19" x14ac:dyDescent="0.35">
      <c r="R850">
        <v>838</v>
      </c>
      <c r="S850" s="13">
        <v>3.1785785857489209E-2</v>
      </c>
    </row>
    <row r="851" spans="18:19" x14ac:dyDescent="0.35">
      <c r="R851">
        <v>839</v>
      </c>
      <c r="S851" s="13">
        <v>2.2253575612514384E-2</v>
      </c>
    </row>
    <row r="852" spans="18:19" x14ac:dyDescent="0.35">
      <c r="R852">
        <v>840</v>
      </c>
      <c r="S852" s="13">
        <v>1.5756402468602548E-2</v>
      </c>
    </row>
    <row r="853" spans="18:19" x14ac:dyDescent="0.35">
      <c r="R853">
        <v>841</v>
      </c>
      <c r="S853" s="13">
        <v>2.5381747976231168E-2</v>
      </c>
    </row>
    <row r="854" spans="18:19" x14ac:dyDescent="0.35">
      <c r="R854">
        <v>842</v>
      </c>
      <c r="S854" s="13">
        <v>1.1578777542352252E-2</v>
      </c>
    </row>
    <row r="855" spans="18:19" x14ac:dyDescent="0.35">
      <c r="R855">
        <v>843</v>
      </c>
      <c r="S855" s="13">
        <v>8.9533247920474679E-3</v>
      </c>
    </row>
    <row r="856" spans="18:19" x14ac:dyDescent="0.35">
      <c r="R856">
        <v>844</v>
      </c>
      <c r="S856" s="13">
        <v>2.9728028514141629E-2</v>
      </c>
    </row>
    <row r="857" spans="18:19" x14ac:dyDescent="0.35">
      <c r="R857">
        <v>845</v>
      </c>
      <c r="S857" s="13">
        <v>2.5325380551867272E-2</v>
      </c>
    </row>
    <row r="858" spans="18:19" x14ac:dyDescent="0.35">
      <c r="R858">
        <v>846</v>
      </c>
      <c r="S858" s="13">
        <v>2.1882187964040151E-2</v>
      </c>
    </row>
    <row r="859" spans="18:19" x14ac:dyDescent="0.35">
      <c r="R859">
        <v>847</v>
      </c>
      <c r="S859" s="13">
        <v>-3.7708488469510339E-3</v>
      </c>
    </row>
    <row r="860" spans="18:19" x14ac:dyDescent="0.35">
      <c r="R860">
        <v>848</v>
      </c>
      <c r="S860" s="13">
        <v>2.4132145093681324E-2</v>
      </c>
    </row>
    <row r="861" spans="18:19" x14ac:dyDescent="0.35">
      <c r="R861">
        <v>849</v>
      </c>
      <c r="S861" s="13">
        <v>1.7497165314057605E-2</v>
      </c>
    </row>
    <row r="862" spans="18:19" x14ac:dyDescent="0.35">
      <c r="R862">
        <v>850</v>
      </c>
      <c r="S862" s="13">
        <v>1.1550667210955363E-2</v>
      </c>
    </row>
    <row r="863" spans="18:19" x14ac:dyDescent="0.35">
      <c r="R863">
        <v>851</v>
      </c>
      <c r="S863" s="13">
        <v>3.4895518652934179E-2</v>
      </c>
    </row>
    <row r="864" spans="18:19" x14ac:dyDescent="0.35">
      <c r="R864">
        <v>852</v>
      </c>
      <c r="S864" s="13">
        <v>4.2589327364464254E-2</v>
      </c>
    </row>
    <row r="865" spans="18:19" x14ac:dyDescent="0.35">
      <c r="R865">
        <v>853</v>
      </c>
      <c r="S865" s="13">
        <v>1.1270405753350107E-2</v>
      </c>
    </row>
    <row r="866" spans="18:19" x14ac:dyDescent="0.35">
      <c r="R866">
        <v>854</v>
      </c>
      <c r="S866" s="13">
        <v>-1.3052145114335681E-3</v>
      </c>
    </row>
    <row r="867" spans="18:19" x14ac:dyDescent="0.35">
      <c r="R867">
        <v>855</v>
      </c>
      <c r="S867" s="13">
        <v>-5.736952142246364E-3</v>
      </c>
    </row>
    <row r="868" spans="18:19" x14ac:dyDescent="0.35">
      <c r="R868">
        <v>856</v>
      </c>
      <c r="S868" s="13">
        <v>1.4301692575696332E-2</v>
      </c>
    </row>
    <row r="869" spans="18:19" x14ac:dyDescent="0.35">
      <c r="R869">
        <v>857</v>
      </c>
      <c r="S869" s="13">
        <v>2.5793596457804366E-2</v>
      </c>
    </row>
    <row r="870" spans="18:19" x14ac:dyDescent="0.35">
      <c r="R870">
        <v>858</v>
      </c>
      <c r="S870" s="13">
        <v>-2.0739744337860133E-3</v>
      </c>
    </row>
    <row r="871" spans="18:19" x14ac:dyDescent="0.35">
      <c r="R871">
        <v>859</v>
      </c>
      <c r="S871" s="13">
        <v>2.9030201989420919E-2</v>
      </c>
    </row>
    <row r="872" spans="18:19" x14ac:dyDescent="0.35">
      <c r="R872">
        <v>860</v>
      </c>
      <c r="S872" s="13">
        <v>3.5728881198035911E-2</v>
      </c>
    </row>
    <row r="873" spans="18:19" x14ac:dyDescent="0.35">
      <c r="R873">
        <v>861</v>
      </c>
      <c r="S873" s="13">
        <v>1.9337386315571241E-2</v>
      </c>
    </row>
    <row r="874" spans="18:19" x14ac:dyDescent="0.35">
      <c r="R874">
        <v>862</v>
      </c>
      <c r="S874" s="13">
        <v>1.3735569916645995E-2</v>
      </c>
    </row>
    <row r="875" spans="18:19" x14ac:dyDescent="0.35">
      <c r="R875">
        <v>863</v>
      </c>
      <c r="S875" s="13">
        <v>2.1893978825305114E-2</v>
      </c>
    </row>
    <row r="876" spans="18:19" x14ac:dyDescent="0.35">
      <c r="R876">
        <v>864</v>
      </c>
      <c r="S876" s="13">
        <v>7.4928584617183526E-3</v>
      </c>
    </row>
    <row r="877" spans="18:19" x14ac:dyDescent="0.35">
      <c r="R877">
        <v>865</v>
      </c>
      <c r="S877" s="13">
        <v>2.7599576411624731E-2</v>
      </c>
    </row>
    <row r="878" spans="18:19" x14ac:dyDescent="0.35">
      <c r="R878">
        <v>866</v>
      </c>
      <c r="S878" s="13">
        <v>1.9138695490922022E-2</v>
      </c>
    </row>
    <row r="879" spans="18:19" x14ac:dyDescent="0.35">
      <c r="R879">
        <v>867</v>
      </c>
      <c r="S879" s="13">
        <v>1.0446445015515966E-2</v>
      </c>
    </row>
    <row r="880" spans="18:19" x14ac:dyDescent="0.35">
      <c r="R880">
        <v>868</v>
      </c>
      <c r="S880" s="13">
        <v>2.5744462370399568E-2</v>
      </c>
    </row>
    <row r="881" spans="18:19" x14ac:dyDescent="0.35">
      <c r="R881">
        <v>869</v>
      </c>
      <c r="S881" s="13">
        <v>1.0669265900589643E-2</v>
      </c>
    </row>
    <row r="882" spans="18:19" x14ac:dyDescent="0.35">
      <c r="R882">
        <v>870</v>
      </c>
      <c r="S882" s="13">
        <v>1.553418660340352E-2</v>
      </c>
    </row>
    <row r="883" spans="18:19" x14ac:dyDescent="0.35">
      <c r="R883">
        <v>871</v>
      </c>
      <c r="S883" s="13">
        <v>2.4930171017045949E-2</v>
      </c>
    </row>
    <row r="884" spans="18:19" x14ac:dyDescent="0.35">
      <c r="R884">
        <v>872</v>
      </c>
      <c r="S884" s="13">
        <v>1.5236305500412278E-2</v>
      </c>
    </row>
    <row r="885" spans="18:19" x14ac:dyDescent="0.35">
      <c r="R885">
        <v>873</v>
      </c>
      <c r="S885" s="13">
        <v>2.0918455570565406E-2</v>
      </c>
    </row>
    <row r="886" spans="18:19" x14ac:dyDescent="0.35">
      <c r="R886">
        <v>874</v>
      </c>
      <c r="S886" s="13">
        <v>2.6846285060387987E-2</v>
      </c>
    </row>
    <row r="887" spans="18:19" x14ac:dyDescent="0.35">
      <c r="R887">
        <v>875</v>
      </c>
      <c r="S887" s="13">
        <v>1.3095361047847443E-2</v>
      </c>
    </row>
    <row r="888" spans="18:19" x14ac:dyDescent="0.35">
      <c r="R888">
        <v>876</v>
      </c>
      <c r="S888" s="13">
        <v>1.1870536440773127E-2</v>
      </c>
    </row>
    <row r="889" spans="18:19" x14ac:dyDescent="0.35">
      <c r="R889">
        <v>877</v>
      </c>
      <c r="S889" s="13">
        <v>2.0478679878071782E-2</v>
      </c>
    </row>
    <row r="890" spans="18:19" x14ac:dyDescent="0.35">
      <c r="R890">
        <v>878</v>
      </c>
      <c r="S890" s="13">
        <v>2.2067592689661977E-2</v>
      </c>
    </row>
    <row r="891" spans="18:19" x14ac:dyDescent="0.35">
      <c r="R891">
        <v>879</v>
      </c>
      <c r="S891" s="13">
        <v>1.1360322285465742E-2</v>
      </c>
    </row>
    <row r="892" spans="18:19" x14ac:dyDescent="0.35">
      <c r="R892">
        <v>880</v>
      </c>
      <c r="S892" s="13">
        <v>1.1826991049812729E-2</v>
      </c>
    </row>
    <row r="893" spans="18:19" x14ac:dyDescent="0.35">
      <c r="R893">
        <v>881</v>
      </c>
      <c r="S893" s="13">
        <v>2.8540095184826426E-2</v>
      </c>
    </row>
    <row r="894" spans="18:19" x14ac:dyDescent="0.35">
      <c r="R894">
        <v>882</v>
      </c>
      <c r="S894" s="13">
        <v>1.084420966135473E-2</v>
      </c>
    </row>
    <row r="895" spans="18:19" x14ac:dyDescent="0.35">
      <c r="R895">
        <v>883</v>
      </c>
      <c r="S895" s="13">
        <v>2.4866260479639545E-2</v>
      </c>
    </row>
    <row r="896" spans="18:19" x14ac:dyDescent="0.35">
      <c r="R896">
        <v>884</v>
      </c>
      <c r="S896" s="13">
        <v>2.5943572367085395E-2</v>
      </c>
    </row>
    <row r="897" spans="18:19" x14ac:dyDescent="0.35">
      <c r="R897">
        <v>885</v>
      </c>
      <c r="S897" s="13">
        <v>2.4813281081012523E-2</v>
      </c>
    </row>
    <row r="898" spans="18:19" x14ac:dyDescent="0.35">
      <c r="R898">
        <v>886</v>
      </c>
      <c r="S898" s="13">
        <v>1.5326473544823437E-2</v>
      </c>
    </row>
    <row r="899" spans="18:19" x14ac:dyDescent="0.35">
      <c r="R899">
        <v>887</v>
      </c>
      <c r="S899" s="13">
        <v>1.6065818052452815E-2</v>
      </c>
    </row>
    <row r="900" spans="18:19" x14ac:dyDescent="0.35">
      <c r="R900">
        <v>888</v>
      </c>
      <c r="S900" s="13">
        <v>1.360424549291156E-2</v>
      </c>
    </row>
    <row r="901" spans="18:19" x14ac:dyDescent="0.35">
      <c r="R901">
        <v>889</v>
      </c>
      <c r="S901" s="13">
        <v>1.7931712550640477E-2</v>
      </c>
    </row>
    <row r="902" spans="18:19" x14ac:dyDescent="0.35">
      <c r="R902">
        <v>890</v>
      </c>
      <c r="S902" s="13">
        <v>2.0502502532248813E-2</v>
      </c>
    </row>
    <row r="903" spans="18:19" x14ac:dyDescent="0.35">
      <c r="R903">
        <v>891</v>
      </c>
      <c r="S903" s="13">
        <v>4.4322271628141671E-3</v>
      </c>
    </row>
    <row r="904" spans="18:19" x14ac:dyDescent="0.35">
      <c r="R904">
        <v>892</v>
      </c>
      <c r="S904" s="13">
        <v>2.4027133176025988E-2</v>
      </c>
    </row>
    <row r="905" spans="18:19" x14ac:dyDescent="0.35">
      <c r="R905">
        <v>893</v>
      </c>
      <c r="S905" s="13">
        <v>1.131231342530422E-2</v>
      </c>
    </row>
    <row r="906" spans="18:19" x14ac:dyDescent="0.35">
      <c r="R906">
        <v>894</v>
      </c>
      <c r="S906" s="13">
        <v>9.1644402196739E-3</v>
      </c>
    </row>
    <row r="907" spans="18:19" x14ac:dyDescent="0.35">
      <c r="R907">
        <v>895</v>
      </c>
      <c r="S907" s="13">
        <v>2.6631301409992997E-2</v>
      </c>
    </row>
    <row r="908" spans="18:19" x14ac:dyDescent="0.35">
      <c r="R908">
        <v>896</v>
      </c>
      <c r="S908" s="13">
        <v>3.9699503400448359E-2</v>
      </c>
    </row>
    <row r="909" spans="18:19" x14ac:dyDescent="0.35">
      <c r="R909">
        <v>897</v>
      </c>
      <c r="S909" s="13">
        <v>1.428429191889961E-2</v>
      </c>
    </row>
    <row r="910" spans="18:19" x14ac:dyDescent="0.35">
      <c r="R910">
        <v>898</v>
      </c>
      <c r="S910" s="13">
        <v>2.354402018957482E-2</v>
      </c>
    </row>
    <row r="911" spans="18:19" x14ac:dyDescent="0.35">
      <c r="R911">
        <v>899</v>
      </c>
      <c r="S911" s="13">
        <v>1.5429424543139357E-2</v>
      </c>
    </row>
    <row r="912" spans="18:19" x14ac:dyDescent="0.35">
      <c r="R912">
        <v>900</v>
      </c>
      <c r="S912" s="13">
        <v>2.3927867704243516E-2</v>
      </c>
    </row>
    <row r="913" spans="18:19" x14ac:dyDescent="0.35">
      <c r="R913">
        <v>901</v>
      </c>
      <c r="S913" s="13">
        <v>1.7661066797792141E-2</v>
      </c>
    </row>
    <row r="914" spans="18:19" x14ac:dyDescent="0.35">
      <c r="R914">
        <v>902</v>
      </c>
      <c r="S914" s="13">
        <v>1.6111261337107653E-2</v>
      </c>
    </row>
    <row r="915" spans="18:19" x14ac:dyDescent="0.35">
      <c r="R915">
        <v>903</v>
      </c>
      <c r="S915" s="13">
        <v>-7.1272017470194043E-3</v>
      </c>
    </row>
    <row r="916" spans="18:19" x14ac:dyDescent="0.35">
      <c r="R916">
        <v>904</v>
      </c>
      <c r="S916" s="13">
        <v>4.0415121006439542E-2</v>
      </c>
    </row>
    <row r="917" spans="18:19" x14ac:dyDescent="0.35">
      <c r="R917">
        <v>905</v>
      </c>
      <c r="S917" s="13">
        <v>1.8073994327606573E-2</v>
      </c>
    </row>
    <row r="918" spans="18:19" x14ac:dyDescent="0.35">
      <c r="R918">
        <v>906</v>
      </c>
      <c r="S918" s="13">
        <v>2.7560318721951863E-2</v>
      </c>
    </row>
    <row r="919" spans="18:19" x14ac:dyDescent="0.35">
      <c r="R919">
        <v>907</v>
      </c>
      <c r="S919" s="13">
        <v>1.860716438614635E-2</v>
      </c>
    </row>
    <row r="920" spans="18:19" x14ac:dyDescent="0.35">
      <c r="R920">
        <v>908</v>
      </c>
      <c r="S920" s="13">
        <v>2.742769662177915E-2</v>
      </c>
    </row>
    <row r="921" spans="18:19" x14ac:dyDescent="0.35">
      <c r="R921">
        <v>909</v>
      </c>
      <c r="S921" s="13">
        <v>1.5297585149778581E-2</v>
      </c>
    </row>
    <row r="922" spans="18:19" x14ac:dyDescent="0.35">
      <c r="R922">
        <v>910</v>
      </c>
      <c r="S922" s="13">
        <v>1.6689324591481845E-2</v>
      </c>
    </row>
    <row r="923" spans="18:19" x14ac:dyDescent="0.35">
      <c r="R923">
        <v>911</v>
      </c>
      <c r="S923" s="13">
        <v>3.4656307940845794E-2</v>
      </c>
    </row>
    <row r="924" spans="18:19" x14ac:dyDescent="0.35">
      <c r="R924">
        <v>912</v>
      </c>
      <c r="S924" s="13">
        <v>2.0412988459364002E-2</v>
      </c>
    </row>
    <row r="925" spans="18:19" x14ac:dyDescent="0.35">
      <c r="R925">
        <v>913</v>
      </c>
      <c r="S925" s="13">
        <v>2.7914943911000717E-2</v>
      </c>
    </row>
    <row r="926" spans="18:19" x14ac:dyDescent="0.35">
      <c r="R926">
        <v>914</v>
      </c>
      <c r="S926" s="13">
        <v>6.4740277462882884E-3</v>
      </c>
    </row>
    <row r="927" spans="18:19" x14ac:dyDescent="0.35">
      <c r="R927">
        <v>915</v>
      </c>
      <c r="S927" s="13">
        <v>2.9556854789903581E-2</v>
      </c>
    </row>
    <row r="928" spans="18:19" x14ac:dyDescent="0.35">
      <c r="R928">
        <v>916</v>
      </c>
      <c r="S928" s="13">
        <v>1.6808892568739957E-3</v>
      </c>
    </row>
    <row r="929" spans="18:19" x14ac:dyDescent="0.35">
      <c r="R929">
        <v>917</v>
      </c>
      <c r="S929" s="13">
        <v>1.7451914443595725E-2</v>
      </c>
    </row>
    <row r="930" spans="18:19" x14ac:dyDescent="0.35">
      <c r="R930">
        <v>918</v>
      </c>
      <c r="S930" s="13">
        <v>3.5182533404161435E-2</v>
      </c>
    </row>
    <row r="931" spans="18:19" x14ac:dyDescent="0.35">
      <c r="R931">
        <v>919</v>
      </c>
      <c r="S931" s="13">
        <v>1.4746335970167151E-2</v>
      </c>
    </row>
    <row r="932" spans="18:19" x14ac:dyDescent="0.35">
      <c r="R932">
        <v>920</v>
      </c>
      <c r="S932" s="13">
        <v>7.4593115413905779E-3</v>
      </c>
    </row>
    <row r="933" spans="18:19" x14ac:dyDescent="0.35">
      <c r="R933">
        <v>921</v>
      </c>
      <c r="S933" s="13">
        <v>9.8968369388273102E-3</v>
      </c>
    </row>
    <row r="934" spans="18:19" x14ac:dyDescent="0.35">
      <c r="R934">
        <v>922</v>
      </c>
      <c r="S934" s="13">
        <v>2.7137261443594532E-2</v>
      </c>
    </row>
    <row r="935" spans="18:19" x14ac:dyDescent="0.35">
      <c r="R935">
        <v>923</v>
      </c>
      <c r="S935" s="13">
        <v>2.4512654236774449E-2</v>
      </c>
    </row>
    <row r="936" spans="18:19" x14ac:dyDescent="0.35">
      <c r="R936">
        <v>924</v>
      </c>
      <c r="S936" s="13">
        <v>1.5035193779426834E-2</v>
      </c>
    </row>
    <row r="937" spans="18:19" x14ac:dyDescent="0.35">
      <c r="R937">
        <v>925</v>
      </c>
      <c r="S937" s="13">
        <v>3.9661121952920445E-2</v>
      </c>
    </row>
    <row r="938" spans="18:19" x14ac:dyDescent="0.35">
      <c r="R938">
        <v>926</v>
      </c>
      <c r="S938" s="13">
        <v>3.5849532896059022E-2</v>
      </c>
    </row>
    <row r="939" spans="18:19" x14ac:dyDescent="0.35">
      <c r="R939">
        <v>927</v>
      </c>
      <c r="S939" s="13">
        <v>2.8614472210645506E-2</v>
      </c>
    </row>
    <row r="940" spans="18:19" x14ac:dyDescent="0.35">
      <c r="R940">
        <v>928</v>
      </c>
      <c r="S940" s="13">
        <v>2.7313713394742756E-2</v>
      </c>
    </row>
    <row r="941" spans="18:19" x14ac:dyDescent="0.35">
      <c r="R941">
        <v>929</v>
      </c>
      <c r="S941" s="13">
        <v>2.5805950969893972E-2</v>
      </c>
    </row>
    <row r="942" spans="18:19" x14ac:dyDescent="0.35">
      <c r="R942">
        <v>930</v>
      </c>
      <c r="S942" s="13">
        <v>2.7582095031396987E-2</v>
      </c>
    </row>
    <row r="943" spans="18:19" x14ac:dyDescent="0.35">
      <c r="R943">
        <v>931</v>
      </c>
      <c r="S943" s="13">
        <v>9.2591356495242017E-3</v>
      </c>
    </row>
    <row r="944" spans="18:19" x14ac:dyDescent="0.35">
      <c r="R944">
        <v>932</v>
      </c>
      <c r="S944" s="13">
        <v>8.586604148559121E-3</v>
      </c>
    </row>
    <row r="945" spans="18:19" x14ac:dyDescent="0.35">
      <c r="R945">
        <v>933</v>
      </c>
      <c r="S945" s="13">
        <v>1.4304234291328329E-2</v>
      </c>
    </row>
    <row r="946" spans="18:19" x14ac:dyDescent="0.35">
      <c r="R946">
        <v>934</v>
      </c>
      <c r="S946" s="13">
        <v>3.149408777388979E-3</v>
      </c>
    </row>
    <row r="947" spans="18:19" x14ac:dyDescent="0.35">
      <c r="R947">
        <v>935</v>
      </c>
      <c r="S947" s="13">
        <v>1.7650511344801546E-2</v>
      </c>
    </row>
    <row r="948" spans="18:19" x14ac:dyDescent="0.35">
      <c r="R948">
        <v>936</v>
      </c>
      <c r="S948" s="13">
        <v>1.3438640775677527E-2</v>
      </c>
    </row>
    <row r="949" spans="18:19" x14ac:dyDescent="0.35">
      <c r="R949">
        <v>937</v>
      </c>
      <c r="S949" s="13">
        <v>3.6014576593342451E-2</v>
      </c>
    </row>
    <row r="950" spans="18:19" x14ac:dyDescent="0.35">
      <c r="R950">
        <v>938</v>
      </c>
      <c r="S950" s="13">
        <v>1.8322736944663055E-2</v>
      </c>
    </row>
    <row r="951" spans="18:19" x14ac:dyDescent="0.35">
      <c r="R951">
        <v>939</v>
      </c>
      <c r="S951" s="13">
        <v>2.4256322401863498E-2</v>
      </c>
    </row>
    <row r="952" spans="18:19" x14ac:dyDescent="0.35">
      <c r="R952">
        <v>940</v>
      </c>
      <c r="S952" s="13">
        <v>2.2829650326758127E-2</v>
      </c>
    </row>
    <row r="953" spans="18:19" x14ac:dyDescent="0.35">
      <c r="R953">
        <v>941</v>
      </c>
      <c r="S953" s="13">
        <v>2.8768887346642714E-3</v>
      </c>
    </row>
    <row r="954" spans="18:19" x14ac:dyDescent="0.35">
      <c r="R954">
        <v>942</v>
      </c>
      <c r="S954" s="13">
        <v>1.9102444740248768E-2</v>
      </c>
    </row>
    <row r="955" spans="18:19" x14ac:dyDescent="0.35">
      <c r="R955">
        <v>943</v>
      </c>
      <c r="S955" s="13">
        <v>2.3865446800896514E-2</v>
      </c>
    </row>
    <row r="956" spans="18:19" x14ac:dyDescent="0.35">
      <c r="R956">
        <v>944</v>
      </c>
      <c r="S956" s="13">
        <v>2.3534415416161598E-2</v>
      </c>
    </row>
    <row r="957" spans="18:19" x14ac:dyDescent="0.35">
      <c r="R957">
        <v>945</v>
      </c>
      <c r="S957" s="13">
        <v>1.4073561197095432E-2</v>
      </c>
    </row>
    <row r="958" spans="18:19" x14ac:dyDescent="0.35">
      <c r="R958">
        <v>946</v>
      </c>
      <c r="S958" s="13">
        <v>1.8128446735824109E-2</v>
      </c>
    </row>
    <row r="959" spans="18:19" x14ac:dyDescent="0.35">
      <c r="R959">
        <v>947</v>
      </c>
      <c r="S959" s="13">
        <v>1.4693411922479735E-2</v>
      </c>
    </row>
    <row r="960" spans="18:19" x14ac:dyDescent="0.35">
      <c r="R960">
        <v>948</v>
      </c>
      <c r="S960" s="13">
        <v>1.554173681300682E-2</v>
      </c>
    </row>
    <row r="961" spans="18:19" x14ac:dyDescent="0.35">
      <c r="R961">
        <v>949</v>
      </c>
      <c r="S961" s="13">
        <v>2.7377836611575029E-2</v>
      </c>
    </row>
    <row r="962" spans="18:19" x14ac:dyDescent="0.35">
      <c r="R962">
        <v>950</v>
      </c>
      <c r="S962" s="13">
        <v>9.7925084982548559E-3</v>
      </c>
    </row>
    <row r="963" spans="18:19" x14ac:dyDescent="0.35">
      <c r="R963">
        <v>951</v>
      </c>
      <c r="S963" s="13">
        <v>2.460265507611558E-2</v>
      </c>
    </row>
    <row r="964" spans="18:19" x14ac:dyDescent="0.35">
      <c r="R964">
        <v>952</v>
      </c>
      <c r="S964" s="13">
        <v>1.4914909429611864E-2</v>
      </c>
    </row>
    <row r="965" spans="18:19" x14ac:dyDescent="0.35">
      <c r="R965">
        <v>953</v>
      </c>
      <c r="S965" s="13">
        <v>1.6629262721275757E-2</v>
      </c>
    </row>
    <row r="966" spans="18:19" x14ac:dyDescent="0.35">
      <c r="R966">
        <v>954</v>
      </c>
      <c r="S966" s="13">
        <v>1.5654771880649523E-2</v>
      </c>
    </row>
    <row r="967" spans="18:19" x14ac:dyDescent="0.35">
      <c r="R967">
        <v>955</v>
      </c>
      <c r="S967" s="13">
        <v>1.3327088281945274E-2</v>
      </c>
    </row>
    <row r="968" spans="18:19" x14ac:dyDescent="0.35">
      <c r="R968">
        <v>956</v>
      </c>
      <c r="S968" s="13">
        <v>9.4437839742753677E-3</v>
      </c>
    </row>
    <row r="969" spans="18:19" x14ac:dyDescent="0.35">
      <c r="R969">
        <v>957</v>
      </c>
      <c r="S969" s="13">
        <v>1.9479602101873352E-2</v>
      </c>
    </row>
    <row r="970" spans="18:19" x14ac:dyDescent="0.35">
      <c r="R970">
        <v>958</v>
      </c>
      <c r="S970" s="13">
        <v>1.2141912410572137E-2</v>
      </c>
    </row>
    <row r="971" spans="18:19" x14ac:dyDescent="0.35">
      <c r="R971">
        <v>959</v>
      </c>
      <c r="S971" s="13">
        <v>2.4660929130280451E-3</v>
      </c>
    </row>
    <row r="972" spans="18:19" x14ac:dyDescent="0.35">
      <c r="R972">
        <v>960</v>
      </c>
      <c r="S972" s="13">
        <v>1.2550967735003207E-2</v>
      </c>
    </row>
    <row r="973" spans="18:19" x14ac:dyDescent="0.35">
      <c r="R973">
        <v>961</v>
      </c>
      <c r="S973" s="13">
        <v>2.4793902278516917E-2</v>
      </c>
    </row>
    <row r="974" spans="18:19" x14ac:dyDescent="0.35">
      <c r="R974">
        <v>962</v>
      </c>
      <c r="S974" s="13">
        <v>2.5503976519813433E-2</v>
      </c>
    </row>
    <row r="975" spans="18:19" x14ac:dyDescent="0.35">
      <c r="R975">
        <v>963</v>
      </c>
      <c r="S975" s="13">
        <v>1.6907270531439523E-2</v>
      </c>
    </row>
    <row r="976" spans="18:19" x14ac:dyDescent="0.35">
      <c r="R976">
        <v>964</v>
      </c>
      <c r="S976" s="13">
        <v>3.7653058676640927E-2</v>
      </c>
    </row>
    <row r="977" spans="18:19" x14ac:dyDescent="0.35">
      <c r="R977">
        <v>965</v>
      </c>
      <c r="S977" s="13">
        <v>3.7844333544012371E-2</v>
      </c>
    </row>
    <row r="978" spans="18:19" x14ac:dyDescent="0.35">
      <c r="R978">
        <v>966</v>
      </c>
      <c r="S978" s="13">
        <v>2.7155513995879801E-2</v>
      </c>
    </row>
    <row r="979" spans="18:19" x14ac:dyDescent="0.35">
      <c r="R979">
        <v>967</v>
      </c>
      <c r="S979" s="13">
        <v>2.5004584002286771E-2</v>
      </c>
    </row>
    <row r="980" spans="18:19" x14ac:dyDescent="0.35">
      <c r="R980">
        <v>968</v>
      </c>
      <c r="S980" s="13">
        <v>8.2195818190077263E-3</v>
      </c>
    </row>
    <row r="981" spans="18:19" x14ac:dyDescent="0.35">
      <c r="R981">
        <v>969</v>
      </c>
      <c r="S981" s="13">
        <v>1.303123874783222E-2</v>
      </c>
    </row>
    <row r="982" spans="18:19" x14ac:dyDescent="0.35">
      <c r="R982">
        <v>970</v>
      </c>
      <c r="S982" s="13">
        <v>1.8498004413145676E-2</v>
      </c>
    </row>
    <row r="983" spans="18:19" x14ac:dyDescent="0.35">
      <c r="R983">
        <v>971</v>
      </c>
      <c r="S983" s="13">
        <v>1.9787992040565614E-2</v>
      </c>
    </row>
    <row r="984" spans="18:19" x14ac:dyDescent="0.35">
      <c r="R984">
        <v>972</v>
      </c>
      <c r="S984" s="13">
        <v>9.3175332870315767E-3</v>
      </c>
    </row>
    <row r="985" spans="18:19" x14ac:dyDescent="0.35">
      <c r="R985">
        <v>973</v>
      </c>
      <c r="S985" s="13">
        <v>1.537309779581424E-2</v>
      </c>
    </row>
    <row r="986" spans="18:19" x14ac:dyDescent="0.35">
      <c r="R986">
        <v>974</v>
      </c>
      <c r="S986" s="13">
        <v>2.5280321620186924E-2</v>
      </c>
    </row>
    <row r="987" spans="18:19" x14ac:dyDescent="0.35">
      <c r="R987">
        <v>975</v>
      </c>
      <c r="S987" s="13">
        <v>1.6315282971442122E-3</v>
      </c>
    </row>
    <row r="988" spans="18:19" x14ac:dyDescent="0.35">
      <c r="R988">
        <v>976</v>
      </c>
      <c r="S988" s="13">
        <v>1.566991058594E-2</v>
      </c>
    </row>
    <row r="989" spans="18:19" x14ac:dyDescent="0.35">
      <c r="R989">
        <v>977</v>
      </c>
      <c r="S989" s="13">
        <v>1.9911378416100516E-2</v>
      </c>
    </row>
    <row r="990" spans="18:19" x14ac:dyDescent="0.35">
      <c r="R990">
        <v>978</v>
      </c>
      <c r="S990" s="13">
        <v>1.797247501887873E-2</v>
      </c>
    </row>
    <row r="991" spans="18:19" x14ac:dyDescent="0.35">
      <c r="R991">
        <v>979</v>
      </c>
      <c r="S991" s="13">
        <v>2.014291429287025E-2</v>
      </c>
    </row>
    <row r="992" spans="18:19" x14ac:dyDescent="0.35">
      <c r="R992">
        <v>980</v>
      </c>
      <c r="S992" s="13">
        <v>1.1702858939789651E-2</v>
      </c>
    </row>
    <row r="993" spans="18:19" x14ac:dyDescent="0.35">
      <c r="R993">
        <v>981</v>
      </c>
      <c r="S993" s="13">
        <v>1.828222649768324E-2</v>
      </c>
    </row>
    <row r="994" spans="18:19" x14ac:dyDescent="0.35">
      <c r="R994">
        <v>982</v>
      </c>
      <c r="S994" s="13">
        <v>-3.361571522705574E-3</v>
      </c>
    </row>
    <row r="995" spans="18:19" x14ac:dyDescent="0.35">
      <c r="R995">
        <v>983</v>
      </c>
      <c r="S995" s="13">
        <v>2.8297343347906255E-2</v>
      </c>
    </row>
    <row r="996" spans="18:19" x14ac:dyDescent="0.35">
      <c r="R996">
        <v>984</v>
      </c>
      <c r="S996" s="13">
        <v>1.1760809651464763E-2</v>
      </c>
    </row>
    <row r="997" spans="18:19" x14ac:dyDescent="0.35">
      <c r="R997">
        <v>985</v>
      </c>
      <c r="S997" s="13">
        <v>2.4164256124717107E-2</v>
      </c>
    </row>
    <row r="998" spans="18:19" x14ac:dyDescent="0.35">
      <c r="R998">
        <v>986</v>
      </c>
      <c r="S998" s="13">
        <v>3.1798798844643414E-2</v>
      </c>
    </row>
    <row r="999" spans="18:19" x14ac:dyDescent="0.35">
      <c r="R999">
        <v>987</v>
      </c>
      <c r="S999" s="13">
        <v>4.6102853714907271E-2</v>
      </c>
    </row>
    <row r="1000" spans="18:19" x14ac:dyDescent="0.35">
      <c r="R1000">
        <v>988</v>
      </c>
      <c r="S1000" s="13">
        <v>4.7931108234745834E-4</v>
      </c>
    </row>
    <row r="1001" spans="18:19" x14ac:dyDescent="0.35">
      <c r="R1001">
        <v>989</v>
      </c>
      <c r="S1001" s="13">
        <v>3.1721657701516401E-2</v>
      </c>
    </row>
    <row r="1002" spans="18:19" x14ac:dyDescent="0.35">
      <c r="R1002">
        <v>990</v>
      </c>
      <c r="S1002" s="13">
        <v>3.0243130710142729E-2</v>
      </c>
    </row>
    <row r="1003" spans="18:19" x14ac:dyDescent="0.35">
      <c r="R1003">
        <v>991</v>
      </c>
      <c r="S1003" s="13">
        <v>3.2034222282842077E-2</v>
      </c>
    </row>
    <row r="1004" spans="18:19" x14ac:dyDescent="0.35">
      <c r="R1004">
        <v>992</v>
      </c>
      <c r="S1004" s="13">
        <v>2.5325581422461524E-2</v>
      </c>
    </row>
    <row r="1005" spans="18:19" x14ac:dyDescent="0.35">
      <c r="R1005">
        <v>993</v>
      </c>
      <c r="S1005" s="13">
        <v>1.3809667290259155E-2</v>
      </c>
    </row>
    <row r="1006" spans="18:19" x14ac:dyDescent="0.35">
      <c r="R1006">
        <v>994</v>
      </c>
      <c r="S1006" s="13">
        <v>1.8339285147345435E-2</v>
      </c>
    </row>
    <row r="1007" spans="18:19" x14ac:dyDescent="0.35">
      <c r="R1007">
        <v>995</v>
      </c>
      <c r="S1007" s="13">
        <v>2.5785397509150983E-2</v>
      </c>
    </row>
    <row r="1008" spans="18:19" x14ac:dyDescent="0.35">
      <c r="R1008">
        <v>996</v>
      </c>
      <c r="S1008" s="13">
        <v>1.6476760682886386E-2</v>
      </c>
    </row>
    <row r="1009" spans="18:19" x14ac:dyDescent="0.35">
      <c r="R1009">
        <v>997</v>
      </c>
      <c r="S1009" s="13">
        <v>1.1391051638466182E-3</v>
      </c>
    </row>
    <row r="1010" spans="18:19" x14ac:dyDescent="0.35">
      <c r="R1010">
        <v>998</v>
      </c>
      <c r="S1010" s="13">
        <v>1.8276944360352761E-2</v>
      </c>
    </row>
    <row r="1011" spans="18:19" x14ac:dyDescent="0.35">
      <c r="R1011">
        <v>999</v>
      </c>
      <c r="S1011" s="13">
        <v>3.2966078551445795E-2</v>
      </c>
    </row>
    <row r="1012" spans="18:19" x14ac:dyDescent="0.35">
      <c r="R1012">
        <v>1000</v>
      </c>
      <c r="S1012" s="13">
        <v>8.7813928170328692E-3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5D0A-543B-4269-AE49-27252B5FED51}">
  <dimension ref="A1:S19"/>
  <sheetViews>
    <sheetView showGridLines="0" topLeftCell="D1" workbookViewId="0">
      <selection activeCell="H22" sqref="H22"/>
    </sheetView>
  </sheetViews>
  <sheetFormatPr defaultRowHeight="14.5" x14ac:dyDescent="0.35"/>
  <cols>
    <col min="1" max="1" width="2.36328125" customWidth="1"/>
    <col min="2" max="2" width="6.08984375" bestFit="1" customWidth="1"/>
    <col min="3" max="3" width="30" bestFit="1" customWidth="1"/>
    <col min="4" max="4" width="12" bestFit="1" customWidth="1"/>
    <col min="5" max="5" width="9.08984375" bestFit="1" customWidth="1"/>
  </cols>
  <sheetData>
    <row r="1" spans="1:18" x14ac:dyDescent="0.35">
      <c r="A1" s="24" t="s">
        <v>71</v>
      </c>
    </row>
    <row r="2" spans="1:18" x14ac:dyDescent="0.35">
      <c r="A2" s="24" t="s">
        <v>96</v>
      </c>
      <c r="J2" s="98"/>
      <c r="K2" s="98"/>
      <c r="L2" s="98"/>
      <c r="M2" s="98"/>
      <c r="N2" s="98"/>
      <c r="O2" s="98"/>
    </row>
    <row r="3" spans="1:18" x14ac:dyDescent="0.35">
      <c r="A3" s="24" t="s">
        <v>97</v>
      </c>
      <c r="J3" s="98"/>
      <c r="K3" s="98"/>
      <c r="L3" s="98"/>
      <c r="M3" s="98"/>
      <c r="N3" s="98"/>
      <c r="O3" s="98"/>
      <c r="P3" s="98"/>
      <c r="Q3" s="98"/>
    </row>
    <row r="5" spans="1:18" x14ac:dyDescent="0.35">
      <c r="J5" s="97"/>
      <c r="K5" s="97"/>
      <c r="L5" s="97"/>
      <c r="M5" s="97"/>
      <c r="N5" s="97"/>
      <c r="O5" s="97"/>
      <c r="P5" s="97"/>
      <c r="Q5" s="97"/>
      <c r="R5" s="97"/>
    </row>
    <row r="6" spans="1:18" ht="15" thickBot="1" x14ac:dyDescent="0.4">
      <c r="A6" t="s">
        <v>73</v>
      </c>
      <c r="J6" s="97"/>
      <c r="K6" s="97"/>
      <c r="L6" s="97"/>
      <c r="M6" s="97"/>
      <c r="N6" s="97"/>
      <c r="O6" s="97"/>
      <c r="P6" s="97"/>
      <c r="Q6" s="97"/>
      <c r="R6" s="97"/>
    </row>
    <row r="7" spans="1:18" x14ac:dyDescent="0.35">
      <c r="B7" s="45"/>
      <c r="C7" s="45"/>
      <c r="D7" s="45" t="s">
        <v>76</v>
      </c>
      <c r="E7" s="45" t="s">
        <v>78</v>
      </c>
      <c r="J7" s="97"/>
      <c r="K7" s="97"/>
      <c r="L7" s="97"/>
      <c r="M7" s="97"/>
      <c r="N7" s="97"/>
      <c r="O7" s="97"/>
      <c r="P7" s="97"/>
      <c r="Q7" s="97"/>
      <c r="R7" s="97"/>
    </row>
    <row r="8" spans="1:18" ht="15" thickBot="1" x14ac:dyDescent="0.4">
      <c r="B8" s="46" t="s">
        <v>74</v>
      </c>
      <c r="C8" s="46" t="s">
        <v>75</v>
      </c>
      <c r="D8" s="46" t="s">
        <v>77</v>
      </c>
      <c r="E8" s="46" t="s">
        <v>79</v>
      </c>
      <c r="J8" s="95"/>
      <c r="K8" s="95"/>
      <c r="L8" s="95"/>
      <c r="M8" s="95"/>
      <c r="N8" s="95"/>
      <c r="O8" s="95"/>
      <c r="P8" s="95"/>
      <c r="Q8" s="95"/>
      <c r="R8" s="95"/>
    </row>
    <row r="9" spans="1:18" x14ac:dyDescent="0.35">
      <c r="B9" s="43" t="s">
        <v>83</v>
      </c>
      <c r="C9" s="43" t="s">
        <v>84</v>
      </c>
      <c r="D9" s="43">
        <v>0.4</v>
      </c>
      <c r="E9" s="43">
        <v>0</v>
      </c>
      <c r="J9" s="95"/>
      <c r="K9" s="95"/>
      <c r="L9" s="95"/>
      <c r="M9" s="95"/>
      <c r="N9" s="95"/>
      <c r="O9" s="95"/>
      <c r="P9" s="95"/>
      <c r="Q9" s="95"/>
      <c r="R9" s="95"/>
    </row>
    <row r="10" spans="1:18" x14ac:dyDescent="0.35">
      <c r="B10" s="43" t="s">
        <v>85</v>
      </c>
      <c r="C10" s="43" t="s">
        <v>86</v>
      </c>
      <c r="D10" s="43">
        <v>0.3</v>
      </c>
      <c r="E10" s="43">
        <v>0</v>
      </c>
      <c r="J10" s="95"/>
      <c r="K10" s="95"/>
      <c r="L10" s="95"/>
      <c r="M10" s="95"/>
      <c r="N10" s="95"/>
      <c r="O10" s="95"/>
      <c r="P10" s="95"/>
      <c r="Q10" s="95"/>
      <c r="R10" s="95"/>
    </row>
    <row r="11" spans="1:18" ht="15" thickBot="1" x14ac:dyDescent="0.4">
      <c r="B11" s="44" t="s">
        <v>87</v>
      </c>
      <c r="C11" s="44" t="s">
        <v>88</v>
      </c>
      <c r="D11" s="44">
        <v>0.3</v>
      </c>
      <c r="E11" s="44">
        <v>0</v>
      </c>
    </row>
    <row r="12" spans="1:18" x14ac:dyDescent="0.35">
      <c r="J12" s="95"/>
      <c r="K12" s="95"/>
      <c r="L12" s="95"/>
      <c r="M12" s="95"/>
      <c r="N12" s="95"/>
      <c r="O12" s="95"/>
      <c r="P12" s="95"/>
      <c r="Q12" s="95"/>
      <c r="R12" s="95"/>
    </row>
    <row r="13" spans="1:18" ht="15" thickBot="1" x14ac:dyDescent="0.4">
      <c r="A13" t="s">
        <v>80</v>
      </c>
      <c r="J13" s="95"/>
      <c r="K13" s="95"/>
      <c r="L13" s="95"/>
      <c r="M13" s="95"/>
      <c r="N13" s="95"/>
      <c r="O13" s="95"/>
      <c r="P13" s="95"/>
      <c r="Q13" s="95"/>
      <c r="R13" s="95"/>
    </row>
    <row r="14" spans="1:18" x14ac:dyDescent="0.35">
      <c r="B14" s="45"/>
      <c r="C14" s="45"/>
      <c r="D14" s="45" t="s">
        <v>76</v>
      </c>
      <c r="E14" s="45" t="s">
        <v>81</v>
      </c>
      <c r="J14" s="95"/>
      <c r="K14" s="95"/>
      <c r="L14" s="95"/>
      <c r="M14" s="95"/>
      <c r="N14" s="95"/>
      <c r="O14" s="95"/>
      <c r="P14" s="95"/>
      <c r="Q14" s="95"/>
      <c r="R14" s="95"/>
    </row>
    <row r="15" spans="1:18" ht="15" thickBot="1" x14ac:dyDescent="0.4">
      <c r="B15" s="46" t="s">
        <v>74</v>
      </c>
      <c r="C15" s="46" t="s">
        <v>75</v>
      </c>
      <c r="D15" s="46" t="s">
        <v>77</v>
      </c>
      <c r="E15" s="46" t="s">
        <v>82</v>
      </c>
    </row>
    <row r="16" spans="1:18" x14ac:dyDescent="0.35">
      <c r="B16" s="43" t="s">
        <v>89</v>
      </c>
      <c r="C16" s="43" t="s">
        <v>90</v>
      </c>
      <c r="D16" s="43">
        <v>7.2576253003306807E-2</v>
      </c>
      <c r="E16" s="43">
        <v>0</v>
      </c>
      <c r="J16" s="95"/>
      <c r="K16" s="95"/>
      <c r="L16" s="95"/>
      <c r="M16" s="95"/>
      <c r="N16" s="95"/>
      <c r="O16" s="95"/>
      <c r="P16" s="95"/>
      <c r="Q16" s="95"/>
      <c r="R16" s="95"/>
    </row>
    <row r="17" spans="2:19" ht="15" thickBot="1" x14ac:dyDescent="0.4">
      <c r="B17" s="44" t="s">
        <v>91</v>
      </c>
      <c r="C17" s="44" t="s">
        <v>8</v>
      </c>
      <c r="D17" s="44">
        <v>1</v>
      </c>
      <c r="E17" s="44">
        <v>0</v>
      </c>
      <c r="J17" s="95"/>
      <c r="K17" s="95"/>
      <c r="L17" s="95"/>
      <c r="M17" s="95"/>
      <c r="N17" s="95"/>
      <c r="O17" s="95"/>
      <c r="P17" s="95"/>
      <c r="Q17" s="95"/>
      <c r="R17" s="95"/>
    </row>
    <row r="19" spans="2:19" x14ac:dyDescent="0.35">
      <c r="J19" s="96"/>
      <c r="K19" s="96"/>
      <c r="L19" s="96"/>
      <c r="M19" s="96"/>
      <c r="N19" s="96"/>
      <c r="O19" s="96"/>
      <c r="P19" s="96"/>
      <c r="Q19" s="96"/>
      <c r="R19" s="96"/>
      <c r="S19" s="96"/>
    </row>
  </sheetData>
  <mergeCells count="7">
    <mergeCell ref="J16:R17"/>
    <mergeCell ref="J19:S19"/>
    <mergeCell ref="J5:R7"/>
    <mergeCell ref="J2:O2"/>
    <mergeCell ref="J3:Q3"/>
    <mergeCell ref="J8:R10"/>
    <mergeCell ref="J12:R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0D83-ED64-4EB0-84BC-763AD5BE2539}">
  <dimension ref="B1:W1001"/>
  <sheetViews>
    <sheetView workbookViewId="0">
      <selection activeCell="A15" sqref="A15"/>
    </sheetView>
  </sheetViews>
  <sheetFormatPr defaultRowHeight="14.5" x14ac:dyDescent="0.35"/>
  <cols>
    <col min="3" max="3" width="22.6328125" bestFit="1" customWidth="1"/>
    <col min="6" max="6" width="14.54296875" bestFit="1" customWidth="1"/>
    <col min="7" max="7" width="9.54296875" bestFit="1" customWidth="1"/>
    <col min="8" max="8" width="20" bestFit="1" customWidth="1"/>
    <col min="9" max="9" width="21.453125" bestFit="1" customWidth="1"/>
    <col min="11" max="11" width="22.453125" hidden="1" customWidth="1"/>
    <col min="12" max="12" width="17.54296875" bestFit="1" customWidth="1"/>
    <col min="13" max="13" width="14.08984375" bestFit="1" customWidth="1"/>
    <col min="16" max="16" width="10.54296875" bestFit="1" customWidth="1"/>
    <col min="18" max="18" width="14.81640625" bestFit="1" customWidth="1"/>
    <col min="19" max="19" width="14.36328125" customWidth="1"/>
  </cols>
  <sheetData>
    <row r="1" spans="2:23" ht="16" x14ac:dyDescent="0.4">
      <c r="B1" s="1"/>
      <c r="C1" s="2" t="s">
        <v>0</v>
      </c>
      <c r="D1" s="2">
        <v>30</v>
      </c>
      <c r="E1" s="2"/>
      <c r="F1" s="2"/>
      <c r="G1" s="2"/>
      <c r="H1" s="2"/>
      <c r="I1" s="2"/>
      <c r="J1" s="2"/>
      <c r="K1" s="2"/>
      <c r="L1" s="2"/>
      <c r="M1" s="2"/>
      <c r="O1" t="s">
        <v>27</v>
      </c>
      <c r="P1" t="s">
        <v>30</v>
      </c>
    </row>
    <row r="2" spans="2:23" ht="16" x14ac:dyDescent="0.4">
      <c r="B2" s="1"/>
      <c r="C2" s="2" t="s">
        <v>1</v>
      </c>
      <c r="D2" s="2">
        <v>65</v>
      </c>
      <c r="E2" s="2"/>
      <c r="F2" s="2"/>
      <c r="G2" s="2"/>
      <c r="H2" s="2"/>
      <c r="I2" s="2"/>
      <c r="J2" s="2"/>
      <c r="K2" s="2"/>
      <c r="L2" s="23" t="s">
        <v>46</v>
      </c>
      <c r="M2" s="39">
        <f ca="1">M52</f>
        <v>610631.46762196801</v>
      </c>
      <c r="O2">
        <v>1</v>
      </c>
      <c r="P2" s="10">
        <f ca="1">M2</f>
        <v>610631.46762196801</v>
      </c>
    </row>
    <row r="3" spans="2:23" ht="16" x14ac:dyDescent="0.4">
      <c r="B3" s="1"/>
      <c r="C3" s="2" t="s">
        <v>2</v>
      </c>
      <c r="D3" s="2">
        <v>70000</v>
      </c>
      <c r="E3" s="2"/>
      <c r="F3" s="2"/>
      <c r="G3" s="2"/>
      <c r="H3" s="2"/>
      <c r="I3" s="2"/>
      <c r="J3" s="2"/>
      <c r="K3" s="2"/>
      <c r="L3" s="37" t="s">
        <v>45</v>
      </c>
      <c r="M3" s="38">
        <f>'Retirement Capital'!E27</f>
        <v>1454757</v>
      </c>
      <c r="O3">
        <v>2</v>
      </c>
      <c r="P3" s="10">
        <f t="dataTable" ref="P3:P1001" dt2D="0" dtr="0" r1="S2" ca="1"/>
        <v>541905.86009165994</v>
      </c>
    </row>
    <row r="4" spans="2:23" ht="16" x14ac:dyDescent="0.4">
      <c r="B4" s="1"/>
      <c r="C4" s="2" t="s">
        <v>59</v>
      </c>
      <c r="D4" s="3">
        <v>3.5000000000000003E-2</v>
      </c>
      <c r="E4" s="2"/>
      <c r="F4" s="2"/>
      <c r="G4" s="2" t="s">
        <v>25</v>
      </c>
      <c r="H4" s="2">
        <v>0.7</v>
      </c>
      <c r="I4" s="2"/>
      <c r="J4" s="2"/>
      <c r="K4" s="2"/>
      <c r="L4" s="2" t="s">
        <v>60</v>
      </c>
      <c r="M4" s="40">
        <f ca="1">M9-M3</f>
        <v>-894410.74688182375</v>
      </c>
      <c r="O4">
        <v>3</v>
      </c>
      <c r="P4" s="10">
        <v>543442.32712445571</v>
      </c>
      <c r="S4" s="18" t="s">
        <v>69</v>
      </c>
      <c r="T4" s="18" t="s">
        <v>9</v>
      </c>
      <c r="U4" s="18" t="s">
        <v>10</v>
      </c>
      <c r="V4" s="18" t="s">
        <v>8</v>
      </c>
    </row>
    <row r="5" spans="2:23" ht="16" x14ac:dyDescent="0.4">
      <c r="B5" s="1"/>
      <c r="C5" s="2" t="s">
        <v>4</v>
      </c>
      <c r="D5" s="4">
        <v>0.03</v>
      </c>
      <c r="E5" s="2"/>
      <c r="F5" s="2"/>
      <c r="G5" s="2"/>
      <c r="H5" s="2"/>
      <c r="I5" s="2"/>
      <c r="J5" s="2"/>
      <c r="K5" s="2"/>
      <c r="L5" s="2"/>
      <c r="M5" s="2"/>
      <c r="O5">
        <v>4</v>
      </c>
      <c r="P5" s="10">
        <v>566010.46066995233</v>
      </c>
      <c r="S5" s="19" t="s">
        <v>11</v>
      </c>
      <c r="T5" s="21">
        <v>3.7499999999999999E-2</v>
      </c>
      <c r="U5" s="21">
        <v>0.05</v>
      </c>
      <c r="V5" s="8">
        <v>0.4</v>
      </c>
    </row>
    <row r="6" spans="2:23" ht="16" x14ac:dyDescent="0.4">
      <c r="B6" s="1"/>
      <c r="C6" s="2" t="s">
        <v>5</v>
      </c>
      <c r="D6" s="4">
        <v>0.03</v>
      </c>
      <c r="E6" s="2"/>
      <c r="F6" s="2"/>
      <c r="G6" s="2"/>
      <c r="H6" s="2"/>
      <c r="I6" s="2"/>
      <c r="J6" s="2"/>
      <c r="K6" s="2"/>
      <c r="L6" s="2"/>
      <c r="M6" s="2"/>
      <c r="O6">
        <v>5</v>
      </c>
      <c r="P6" s="10">
        <v>549538.60887041187</v>
      </c>
      <c r="S6" s="19" t="s">
        <v>13</v>
      </c>
      <c r="T6" s="21">
        <v>6.5000000000000002E-2</v>
      </c>
      <c r="U6" s="21">
        <v>0.105</v>
      </c>
      <c r="V6" s="8">
        <v>0.3</v>
      </c>
    </row>
    <row r="7" spans="2:23" ht="16" x14ac:dyDescent="0.4">
      <c r="B7" s="1"/>
      <c r="C7" s="2" t="s">
        <v>7</v>
      </c>
      <c r="D7" s="2">
        <f>D2-D1</f>
        <v>35</v>
      </c>
      <c r="E7" s="2"/>
      <c r="F7" s="2"/>
      <c r="G7" s="2"/>
      <c r="H7" s="2"/>
      <c r="I7" s="2"/>
      <c r="J7" s="2"/>
      <c r="K7" s="2"/>
      <c r="L7" s="2"/>
      <c r="M7" s="2"/>
      <c r="O7">
        <v>6</v>
      </c>
      <c r="P7" s="10">
        <v>553713.00866964844</v>
      </c>
      <c r="S7" s="19" t="s">
        <v>15</v>
      </c>
      <c r="T7" s="21">
        <v>0.10249999999999999</v>
      </c>
      <c r="U7" s="21">
        <v>0.20749999999999999</v>
      </c>
      <c r="V7" s="8">
        <v>0.3</v>
      </c>
    </row>
    <row r="8" spans="2:23" ht="16" x14ac:dyDescent="0.4">
      <c r="B8" s="1"/>
      <c r="E8" s="2"/>
      <c r="F8" s="2"/>
      <c r="G8" s="2"/>
      <c r="H8" s="2"/>
      <c r="I8" s="2"/>
      <c r="J8" s="2"/>
      <c r="K8" s="2"/>
      <c r="L8" s="2"/>
      <c r="M8" s="2"/>
      <c r="O8">
        <v>7</v>
      </c>
      <c r="P8" s="10">
        <v>582738.08157572406</v>
      </c>
      <c r="V8" s="16">
        <f>SUM(V5:V7)</f>
        <v>1</v>
      </c>
    </row>
    <row r="9" spans="2:23" ht="16" x14ac:dyDescent="0.4">
      <c r="B9" s="1"/>
      <c r="C9" s="2"/>
      <c r="D9" s="2"/>
      <c r="E9" s="2"/>
      <c r="F9" s="2"/>
      <c r="G9" s="2"/>
      <c r="H9" s="2"/>
      <c r="I9" s="2"/>
      <c r="J9" s="2"/>
      <c r="K9" s="2"/>
      <c r="L9" s="24" t="s">
        <v>47</v>
      </c>
      <c r="M9" s="25">
        <f ca="1">AVERAGE(P2:P1001)</f>
        <v>560346.25311817625</v>
      </c>
      <c r="O9">
        <v>8</v>
      </c>
      <c r="P9" s="10">
        <v>544317.28332930186</v>
      </c>
      <c r="V9" s="13">
        <f>(V5*T5)+(V6*T6)+(V7*T7)</f>
        <v>6.5250000000000002E-2</v>
      </c>
      <c r="W9" t="s">
        <v>28</v>
      </c>
    </row>
    <row r="10" spans="2:23" ht="16" x14ac:dyDescent="0.4">
      <c r="B10" s="1"/>
      <c r="C10" s="17"/>
      <c r="D10" s="18" t="s">
        <v>8</v>
      </c>
      <c r="E10" s="18" t="s">
        <v>9</v>
      </c>
      <c r="F10" s="18"/>
      <c r="G10" s="18" t="s">
        <v>10</v>
      </c>
      <c r="H10" s="2"/>
      <c r="I10" s="2"/>
      <c r="J10" s="2"/>
      <c r="K10" s="2"/>
      <c r="L10" s="2"/>
      <c r="M10" s="2"/>
      <c r="O10">
        <v>9</v>
      </c>
      <c r="P10" s="10">
        <v>552599.59356404468</v>
      </c>
    </row>
    <row r="11" spans="2:23" ht="16" x14ac:dyDescent="0.4">
      <c r="B11" s="1"/>
      <c r="C11" s="19" t="s">
        <v>11</v>
      </c>
      <c r="D11" s="20">
        <v>0.4</v>
      </c>
      <c r="E11" s="21">
        <v>3.7499999999999999E-2</v>
      </c>
      <c r="F11" s="21"/>
      <c r="G11" s="21">
        <v>0.05</v>
      </c>
      <c r="H11" s="2"/>
      <c r="I11" s="2" t="s">
        <v>12</v>
      </c>
      <c r="J11" s="3">
        <f>(D11*E11)+(D12*E12)+(D13*E13)</f>
        <v>6.5250000000000002E-2</v>
      </c>
      <c r="L11" s="2"/>
      <c r="M11" s="2"/>
      <c r="O11">
        <v>10</v>
      </c>
      <c r="P11" s="10">
        <v>546002.97960055689</v>
      </c>
      <c r="V11" s="9">
        <f>SQRT((V5*5%)^2+(V6*10.5%)^2+(V7*20.75%)^2)</f>
        <v>7.2576253003306807E-2</v>
      </c>
      <c r="W11" t="s">
        <v>10</v>
      </c>
    </row>
    <row r="12" spans="2:23" ht="16" x14ac:dyDescent="0.4">
      <c r="B12" s="1"/>
      <c r="C12" s="19" t="s">
        <v>13</v>
      </c>
      <c r="D12" s="20">
        <v>0.3</v>
      </c>
      <c r="E12" s="21">
        <v>6.5000000000000002E-2</v>
      </c>
      <c r="F12" s="21"/>
      <c r="G12" s="21">
        <v>0.105</v>
      </c>
      <c r="H12" s="2"/>
      <c r="I12" s="2" t="s">
        <v>14</v>
      </c>
      <c r="J12" s="22">
        <v>7.2999999999999995E-2</v>
      </c>
      <c r="K12" s="2"/>
      <c r="L12" s="2"/>
      <c r="M12" s="2"/>
      <c r="O12">
        <v>11</v>
      </c>
      <c r="P12" s="10">
        <v>561595.64520415186</v>
      </c>
    </row>
    <row r="13" spans="2:23" ht="16" x14ac:dyDescent="0.4">
      <c r="B13" s="1"/>
      <c r="C13" s="19" t="s">
        <v>15</v>
      </c>
      <c r="D13" s="20">
        <v>0.3</v>
      </c>
      <c r="E13" s="21">
        <v>0.10249999999999999</v>
      </c>
      <c r="F13" s="21"/>
      <c r="G13" s="21">
        <v>0.20749999999999999</v>
      </c>
      <c r="H13" s="2"/>
      <c r="I13" s="2"/>
      <c r="J13" s="2"/>
      <c r="K13" s="2"/>
      <c r="L13" s="2"/>
      <c r="M13" s="2"/>
      <c r="O13">
        <v>12</v>
      </c>
      <c r="P13" s="10">
        <v>576636.10954172059</v>
      </c>
    </row>
    <row r="14" spans="2:23" ht="16" x14ac:dyDescent="0.4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O14">
        <v>13</v>
      </c>
      <c r="P14" s="10">
        <v>543675.95745975745</v>
      </c>
    </row>
    <row r="15" spans="2:23" ht="16" x14ac:dyDescent="0.4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O15">
        <v>14</v>
      </c>
      <c r="P15" s="10">
        <v>546611.65601839568</v>
      </c>
    </row>
    <row r="16" spans="2:23" ht="16" x14ac:dyDescent="0.4">
      <c r="B16" s="1"/>
      <c r="C16" s="2"/>
      <c r="D16" s="6" t="s">
        <v>16</v>
      </c>
      <c r="E16" s="5" t="s">
        <v>17</v>
      </c>
      <c r="F16" s="5" t="s">
        <v>26</v>
      </c>
      <c r="G16" s="5" t="s">
        <v>18</v>
      </c>
      <c r="H16" s="5" t="s">
        <v>19</v>
      </c>
      <c r="I16" s="5" t="s">
        <v>20</v>
      </c>
      <c r="J16" s="5" t="s">
        <v>21</v>
      </c>
      <c r="K16" s="5" t="s">
        <v>22</v>
      </c>
      <c r="L16" s="5" t="s">
        <v>23</v>
      </c>
      <c r="M16" s="5" t="s">
        <v>24</v>
      </c>
      <c r="O16">
        <v>15</v>
      </c>
      <c r="P16" s="10">
        <v>563673.91885206394</v>
      </c>
    </row>
    <row r="17" spans="2:16" ht="16" x14ac:dyDescent="0.4">
      <c r="B17" s="1"/>
      <c r="C17" s="2"/>
      <c r="D17" s="2">
        <v>1</v>
      </c>
      <c r="E17" s="2">
        <v>30</v>
      </c>
      <c r="F17" s="11">
        <f ca="1">_xlfn.NORM.INV(RAND(),0.035,0.007)</f>
        <v>3.1310669777342627E-2</v>
      </c>
      <c r="G17" s="12">
        <v>70000</v>
      </c>
      <c r="H17" s="12">
        <f>G17*3%</f>
        <v>2100</v>
      </c>
      <c r="I17" s="12">
        <f>H17</f>
        <v>2100</v>
      </c>
      <c r="J17" s="12">
        <f>H17+I17</f>
        <v>4200</v>
      </c>
      <c r="K17" s="7">
        <v>65800</v>
      </c>
      <c r="L17" s="2">
        <v>0</v>
      </c>
      <c r="M17" s="12">
        <f>J17+L17</f>
        <v>4200</v>
      </c>
      <c r="O17">
        <v>16</v>
      </c>
      <c r="P17" s="10">
        <v>555964.82799741137</v>
      </c>
    </row>
    <row r="18" spans="2:16" ht="16" x14ac:dyDescent="0.4">
      <c r="B18" s="1"/>
      <c r="C18" s="2"/>
      <c r="D18" s="2">
        <v>2</v>
      </c>
      <c r="E18" s="2">
        <f>E17+1</f>
        <v>31</v>
      </c>
      <c r="F18" s="11">
        <f t="shared" ref="F18:F52" ca="1" si="0">_xlfn.NORM.INV(RAND(),0.035,0.007)</f>
        <v>3.9004110139597481E-2</v>
      </c>
      <c r="G18" s="12">
        <f ca="1">G17*(1+F18)</f>
        <v>72730.28770977183</v>
      </c>
      <c r="H18" s="12">
        <f t="shared" ref="H18:H52" ca="1" si="1">G18*3%</f>
        <v>2181.9086312931549</v>
      </c>
      <c r="I18" s="12">
        <f t="shared" ref="I18:I52" ca="1" si="2">H18</f>
        <v>2181.9086312931549</v>
      </c>
      <c r="J18" s="12">
        <f t="shared" ref="J18:J52" ca="1" si="3">H18+I18</f>
        <v>4363.8172625863099</v>
      </c>
      <c r="K18" s="7">
        <v>68103</v>
      </c>
      <c r="L18" s="12">
        <f>(J17*$J$11)+L17</f>
        <v>274.05</v>
      </c>
      <c r="M18" s="12">
        <f ca="1">J18+L18+M17</f>
        <v>8837.867262586311</v>
      </c>
      <c r="O18">
        <v>17</v>
      </c>
      <c r="P18" s="10">
        <v>561258.18479712098</v>
      </c>
    </row>
    <row r="19" spans="2:16" ht="16" x14ac:dyDescent="0.4">
      <c r="B19" s="1"/>
      <c r="C19" s="2"/>
      <c r="D19" s="2">
        <v>3</v>
      </c>
      <c r="E19" s="2">
        <f t="shared" ref="E19:E52" si="4">E18+1</f>
        <v>32</v>
      </c>
      <c r="F19" s="11">
        <f t="shared" ca="1" si="0"/>
        <v>4.4346810302669841E-2</v>
      </c>
      <c r="G19" s="12">
        <f t="shared" ref="G19:G52" ca="1" si="5">G18*(1+F19)</f>
        <v>75955.643982095688</v>
      </c>
      <c r="H19" s="12">
        <f t="shared" ca="1" si="1"/>
        <v>2278.6693194628706</v>
      </c>
      <c r="I19" s="12">
        <f t="shared" ca="1" si="2"/>
        <v>2278.6693194628706</v>
      </c>
      <c r="J19" s="12">
        <f t="shared" ca="1" si="3"/>
        <v>4557.3386389257412</v>
      </c>
      <c r="K19" s="7">
        <v>70487</v>
      </c>
      <c r="L19" s="12">
        <f t="shared" ref="L19:L52" ca="1" si="6">(J18*$J$11)+L18</f>
        <v>558.78907638375676</v>
      </c>
      <c r="M19" s="12">
        <f t="shared" ref="M19:M51" ca="1" si="7">J19+L19+M18</f>
        <v>13953.994977895809</v>
      </c>
      <c r="O19">
        <v>18</v>
      </c>
      <c r="P19" s="10">
        <v>554147.00333086913</v>
      </c>
    </row>
    <row r="20" spans="2:16" ht="16" x14ac:dyDescent="0.4">
      <c r="B20" s="1"/>
      <c r="C20" s="2"/>
      <c r="D20" s="2">
        <v>4</v>
      </c>
      <c r="E20" s="2">
        <f t="shared" si="4"/>
        <v>33</v>
      </c>
      <c r="F20" s="11">
        <f t="shared" ca="1" si="0"/>
        <v>3.7379216095377657E-2</v>
      </c>
      <c r="G20" s="12">
        <f t="shared" ca="1" si="5"/>
        <v>78794.806412166014</v>
      </c>
      <c r="H20" s="12">
        <f t="shared" ca="1" si="1"/>
        <v>2363.8441923649802</v>
      </c>
      <c r="I20" s="12">
        <f t="shared" ca="1" si="2"/>
        <v>2363.8441923649802</v>
      </c>
      <c r="J20" s="12">
        <f t="shared" ca="1" si="3"/>
        <v>4727.6883847299605</v>
      </c>
      <c r="K20" s="7">
        <v>72954</v>
      </c>
      <c r="L20" s="12">
        <f t="shared" ca="1" si="6"/>
        <v>856.15542257366133</v>
      </c>
      <c r="M20" s="12">
        <f t="shared" ca="1" si="7"/>
        <v>19537.83878519943</v>
      </c>
      <c r="O20">
        <v>19</v>
      </c>
      <c r="P20" s="10">
        <v>583154.42126275937</v>
      </c>
    </row>
    <row r="21" spans="2:16" ht="16" x14ac:dyDescent="0.4">
      <c r="B21" s="1"/>
      <c r="C21" s="2"/>
      <c r="D21" s="2">
        <v>5</v>
      </c>
      <c r="E21" s="2">
        <f t="shared" si="4"/>
        <v>34</v>
      </c>
      <c r="F21" s="11">
        <f t="shared" ca="1" si="0"/>
        <v>4.1901029197010338E-2</v>
      </c>
      <c r="G21" s="12">
        <f t="shared" ca="1" si="5"/>
        <v>82096.389896214954</v>
      </c>
      <c r="H21" s="12">
        <f t="shared" ca="1" si="1"/>
        <v>2462.8916968864487</v>
      </c>
      <c r="I21" s="12">
        <f t="shared" ca="1" si="2"/>
        <v>2462.8916968864487</v>
      </c>
      <c r="J21" s="12">
        <f t="shared" ca="1" si="3"/>
        <v>4925.7833937728974</v>
      </c>
      <c r="K21" s="7">
        <v>75507</v>
      </c>
      <c r="L21" s="12">
        <f t="shared" ca="1" si="6"/>
        <v>1164.6370896772912</v>
      </c>
      <c r="M21" s="12">
        <f t="shared" ca="1" si="7"/>
        <v>25628.259268649621</v>
      </c>
      <c r="O21">
        <v>20</v>
      </c>
      <c r="P21" s="10">
        <v>568581.07334176765</v>
      </c>
    </row>
    <row r="22" spans="2:16" ht="16" x14ac:dyDescent="0.4">
      <c r="B22" s="1"/>
      <c r="C22" s="2"/>
      <c r="D22" s="2">
        <v>6</v>
      </c>
      <c r="E22" s="2">
        <f t="shared" si="4"/>
        <v>35</v>
      </c>
      <c r="F22" s="11">
        <f t="shared" ca="1" si="0"/>
        <v>3.5927162890551124E-2</v>
      </c>
      <c r="G22" s="12">
        <f t="shared" ca="1" si="5"/>
        <v>85045.880268742461</v>
      </c>
      <c r="H22" s="12">
        <f t="shared" ca="1" si="1"/>
        <v>2551.3764080622736</v>
      </c>
      <c r="I22" s="12">
        <f t="shared" ca="1" si="2"/>
        <v>2551.3764080622736</v>
      </c>
      <c r="J22" s="12">
        <f t="shared" ca="1" si="3"/>
        <v>5102.7528161245473</v>
      </c>
      <c r="K22" s="7">
        <v>78150</v>
      </c>
      <c r="L22" s="12">
        <f t="shared" ca="1" si="6"/>
        <v>1486.0444561209729</v>
      </c>
      <c r="M22" s="12">
        <f t="shared" ca="1" si="7"/>
        <v>32217.056540895141</v>
      </c>
      <c r="O22">
        <v>21</v>
      </c>
      <c r="P22" s="10">
        <v>530700.22243810492</v>
      </c>
    </row>
    <row r="23" spans="2:16" ht="16" x14ac:dyDescent="0.4">
      <c r="B23" s="1"/>
      <c r="C23" s="2"/>
      <c r="D23" s="2">
        <v>7</v>
      </c>
      <c r="E23" s="2">
        <f t="shared" si="4"/>
        <v>36</v>
      </c>
      <c r="F23" s="11">
        <f t="shared" ca="1" si="0"/>
        <v>3.9016536813379833E-2</v>
      </c>
      <c r="G23" s="12">
        <f t="shared" ca="1" si="5"/>
        <v>88364.075987074146</v>
      </c>
      <c r="H23" s="12">
        <f t="shared" ca="1" si="1"/>
        <v>2650.9222796122244</v>
      </c>
      <c r="I23" s="12">
        <f t="shared" ca="1" si="2"/>
        <v>2650.9222796122244</v>
      </c>
      <c r="J23" s="12">
        <f t="shared" ca="1" si="3"/>
        <v>5301.8445592244489</v>
      </c>
      <c r="K23" s="7">
        <v>80885</v>
      </c>
      <c r="L23" s="12">
        <f t="shared" ca="1" si="6"/>
        <v>1818.9990773730997</v>
      </c>
      <c r="M23" s="12">
        <f t="shared" ca="1" si="7"/>
        <v>39337.900177492687</v>
      </c>
      <c r="O23">
        <v>22</v>
      </c>
      <c r="P23" s="10">
        <v>570399.94502679852</v>
      </c>
    </row>
    <row r="24" spans="2:16" ht="16" x14ac:dyDescent="0.4">
      <c r="B24" s="1"/>
      <c r="C24" s="2"/>
      <c r="D24" s="2">
        <v>8</v>
      </c>
      <c r="E24" s="2">
        <f t="shared" si="4"/>
        <v>37</v>
      </c>
      <c r="F24" s="11">
        <f t="shared" ca="1" si="0"/>
        <v>4.595479129017184E-2</v>
      </c>
      <c r="G24" s="12">
        <f t="shared" ca="1" si="5"/>
        <v>92424.828656609025</v>
      </c>
      <c r="H24" s="12">
        <f t="shared" ca="1" si="1"/>
        <v>2772.7448596982708</v>
      </c>
      <c r="I24" s="12">
        <f t="shared" ca="1" si="2"/>
        <v>2772.7448596982708</v>
      </c>
      <c r="J24" s="12">
        <f t="shared" ca="1" si="3"/>
        <v>5545.4897193965417</v>
      </c>
      <c r="K24" s="7">
        <v>83716</v>
      </c>
      <c r="L24" s="12">
        <f t="shared" ca="1" si="6"/>
        <v>2164.9444348624947</v>
      </c>
      <c r="M24" s="12">
        <f t="shared" ca="1" si="7"/>
        <v>47048.334331751721</v>
      </c>
      <c r="O24">
        <v>23</v>
      </c>
      <c r="P24" s="10">
        <v>560855.70444687211</v>
      </c>
    </row>
    <row r="25" spans="2:16" ht="16" x14ac:dyDescent="0.4">
      <c r="B25" s="1"/>
      <c r="C25" s="2"/>
      <c r="D25" s="2">
        <v>9</v>
      </c>
      <c r="E25" s="2">
        <f t="shared" si="4"/>
        <v>38</v>
      </c>
      <c r="F25" s="11">
        <f t="shared" ca="1" si="0"/>
        <v>4.0711005073238569E-2</v>
      </c>
      <c r="G25" s="12">
        <f t="shared" ca="1" si="5"/>
        <v>96187.536324941451</v>
      </c>
      <c r="H25" s="12">
        <f t="shared" ca="1" si="1"/>
        <v>2885.6260897482434</v>
      </c>
      <c r="I25" s="12">
        <f t="shared" ca="1" si="2"/>
        <v>2885.6260897482434</v>
      </c>
      <c r="J25" s="12">
        <f t="shared" ca="1" si="3"/>
        <v>5771.2521794964869</v>
      </c>
      <c r="K25" s="7">
        <v>86646</v>
      </c>
      <c r="L25" s="12">
        <f t="shared" ca="1" si="6"/>
        <v>2526.7876390531192</v>
      </c>
      <c r="M25" s="12">
        <f t="shared" ca="1" si="7"/>
        <v>55346.37415030133</v>
      </c>
      <c r="O25">
        <v>24</v>
      </c>
      <c r="P25" s="10">
        <v>552804.59984510997</v>
      </c>
    </row>
    <row r="26" spans="2:16" ht="16" x14ac:dyDescent="0.4">
      <c r="B26" s="1"/>
      <c r="C26" s="2"/>
      <c r="D26" s="2">
        <v>10</v>
      </c>
      <c r="E26" s="2">
        <f t="shared" si="4"/>
        <v>39</v>
      </c>
      <c r="F26" s="11">
        <f t="shared" ca="1" si="0"/>
        <v>4.7906018203513347E-2</v>
      </c>
      <c r="G26" s="12">
        <f t="shared" ca="1" si="5"/>
        <v>100795.4981910752</v>
      </c>
      <c r="H26" s="12">
        <f t="shared" ca="1" si="1"/>
        <v>3023.8649457322558</v>
      </c>
      <c r="I26" s="12">
        <f t="shared" ca="1" si="2"/>
        <v>3023.8649457322558</v>
      </c>
      <c r="J26" s="12">
        <f t="shared" ca="1" si="3"/>
        <v>6047.7298914645116</v>
      </c>
      <c r="K26" s="7">
        <v>89679</v>
      </c>
      <c r="L26" s="12">
        <f t="shared" ca="1" si="6"/>
        <v>2903.3618437652649</v>
      </c>
      <c r="M26" s="12">
        <f t="shared" ca="1" si="7"/>
        <v>64297.465885531106</v>
      </c>
      <c r="O26">
        <v>25</v>
      </c>
      <c r="P26" s="10">
        <v>570814.24967675598</v>
      </c>
    </row>
    <row r="27" spans="2:16" ht="16" x14ac:dyDescent="0.4">
      <c r="B27" s="1"/>
      <c r="C27" s="2"/>
      <c r="D27" s="2">
        <v>11</v>
      </c>
      <c r="E27" s="2">
        <f t="shared" si="4"/>
        <v>40</v>
      </c>
      <c r="F27" s="11">
        <f t="shared" ca="1" si="0"/>
        <v>3.8858435309405186E-2</v>
      </c>
      <c r="G27" s="12">
        <f t="shared" ca="1" si="5"/>
        <v>104712.25353701237</v>
      </c>
      <c r="H27" s="12">
        <f t="shared" ca="1" si="1"/>
        <v>3141.3676061103711</v>
      </c>
      <c r="I27" s="12">
        <f t="shared" ca="1" si="2"/>
        <v>3141.3676061103711</v>
      </c>
      <c r="J27" s="12">
        <f t="shared" ca="1" si="3"/>
        <v>6282.7352122207421</v>
      </c>
      <c r="K27" s="7">
        <v>92817</v>
      </c>
      <c r="L27" s="12">
        <f t="shared" ca="1" si="6"/>
        <v>3297.9762191833242</v>
      </c>
      <c r="M27" s="12">
        <f t="shared" ca="1" si="7"/>
        <v>73878.17731693518</v>
      </c>
      <c r="O27">
        <v>26</v>
      </c>
      <c r="P27" s="10">
        <v>572014.04058171005</v>
      </c>
    </row>
    <row r="28" spans="2:16" ht="16" x14ac:dyDescent="0.4">
      <c r="B28" s="1"/>
      <c r="C28" s="2"/>
      <c r="D28" s="2">
        <v>12</v>
      </c>
      <c r="E28" s="2">
        <f t="shared" si="4"/>
        <v>41</v>
      </c>
      <c r="F28" s="11">
        <f t="shared" ca="1" si="0"/>
        <v>4.9420215217408053E-2</v>
      </c>
      <c r="G28" s="12">
        <f t="shared" ca="1" si="5"/>
        <v>109887.15564271132</v>
      </c>
      <c r="H28" s="12">
        <f t="shared" ca="1" si="1"/>
        <v>3296.6146692813395</v>
      </c>
      <c r="I28" s="12">
        <f t="shared" ca="1" si="2"/>
        <v>3296.6146692813395</v>
      </c>
      <c r="J28" s="12">
        <f t="shared" ca="1" si="3"/>
        <v>6593.229338562679</v>
      </c>
      <c r="K28" s="7">
        <v>96066</v>
      </c>
      <c r="L28" s="12">
        <f t="shared" ca="1" si="6"/>
        <v>3707.9246917807277</v>
      </c>
      <c r="M28" s="12">
        <f t="shared" ca="1" si="7"/>
        <v>84179.331347278581</v>
      </c>
      <c r="O28">
        <v>27</v>
      </c>
      <c r="P28" s="10">
        <v>564395.46014299372</v>
      </c>
    </row>
    <row r="29" spans="2:16" ht="16" x14ac:dyDescent="0.4">
      <c r="B29" s="1"/>
      <c r="C29" s="2"/>
      <c r="D29" s="2">
        <v>13</v>
      </c>
      <c r="E29" s="2">
        <f t="shared" si="4"/>
        <v>42</v>
      </c>
      <c r="F29" s="11">
        <f t="shared" ca="1" si="0"/>
        <v>3.7781768598775592E-2</v>
      </c>
      <c r="G29" s="12">
        <f t="shared" ca="1" si="5"/>
        <v>114038.88672918188</v>
      </c>
      <c r="H29" s="12">
        <f t="shared" ca="1" si="1"/>
        <v>3421.1666018754563</v>
      </c>
      <c r="I29" s="12">
        <f t="shared" ca="1" si="2"/>
        <v>3421.1666018754563</v>
      </c>
      <c r="J29" s="12">
        <f t="shared" ca="1" si="3"/>
        <v>6842.3332037509126</v>
      </c>
      <c r="K29" s="7">
        <v>99428</v>
      </c>
      <c r="L29" s="12">
        <f t="shared" ca="1" si="6"/>
        <v>4138.1329061219421</v>
      </c>
      <c r="M29" s="12">
        <f t="shared" ca="1" si="7"/>
        <v>95159.797457151435</v>
      </c>
      <c r="O29">
        <v>28</v>
      </c>
      <c r="P29" s="10">
        <v>557314.27136412216</v>
      </c>
    </row>
    <row r="30" spans="2:16" ht="16" x14ac:dyDescent="0.4">
      <c r="B30" s="1"/>
      <c r="C30" s="2"/>
      <c r="D30" s="2">
        <v>14</v>
      </c>
      <c r="E30" s="2">
        <f t="shared" si="4"/>
        <v>43</v>
      </c>
      <c r="F30" s="11">
        <f t="shared" ca="1" si="0"/>
        <v>3.9402030141703355E-2</v>
      </c>
      <c r="G30" s="12">
        <f t="shared" ca="1" si="5"/>
        <v>118532.25038141139</v>
      </c>
      <c r="H30" s="12">
        <f t="shared" ca="1" si="1"/>
        <v>3555.9675114423417</v>
      </c>
      <c r="I30" s="12">
        <f t="shared" ca="1" si="2"/>
        <v>3555.9675114423417</v>
      </c>
      <c r="J30" s="12">
        <f t="shared" ca="1" si="3"/>
        <v>7111.9350228846833</v>
      </c>
      <c r="K30" s="7">
        <v>102908</v>
      </c>
      <c r="L30" s="12">
        <f t="shared" ca="1" si="6"/>
        <v>4584.5951476666896</v>
      </c>
      <c r="M30" s="12">
        <f t="shared" ca="1" si="7"/>
        <v>106856.32762770281</v>
      </c>
      <c r="O30">
        <v>29</v>
      </c>
      <c r="P30" s="10">
        <v>555999.13416969799</v>
      </c>
    </row>
    <row r="31" spans="2:16" ht="16" x14ac:dyDescent="0.4">
      <c r="B31" s="1"/>
      <c r="C31" s="2"/>
      <c r="D31" s="2">
        <v>15</v>
      </c>
      <c r="E31" s="2">
        <f t="shared" si="4"/>
        <v>44</v>
      </c>
      <c r="F31" s="11">
        <f t="shared" ca="1" si="0"/>
        <v>3.1595806779403851E-2</v>
      </c>
      <c r="G31" s="12">
        <f t="shared" ca="1" si="5"/>
        <v>122277.37246159038</v>
      </c>
      <c r="H31" s="12">
        <f t="shared" ca="1" si="1"/>
        <v>3668.3211738477112</v>
      </c>
      <c r="I31" s="12">
        <f t="shared" ca="1" si="2"/>
        <v>3668.3211738477112</v>
      </c>
      <c r="J31" s="12">
        <f t="shared" ca="1" si="3"/>
        <v>7336.6423476954224</v>
      </c>
      <c r="K31" s="7">
        <v>106510</v>
      </c>
      <c r="L31" s="12">
        <f t="shared" ca="1" si="6"/>
        <v>5048.6489079099156</v>
      </c>
      <c r="M31" s="12">
        <f t="shared" ca="1" si="7"/>
        <v>119241.61888330814</v>
      </c>
      <c r="O31">
        <v>30</v>
      </c>
      <c r="P31" s="10">
        <v>549861.41457084089</v>
      </c>
    </row>
    <row r="32" spans="2:16" ht="16" x14ac:dyDescent="0.4">
      <c r="B32" s="1"/>
      <c r="C32" s="2"/>
      <c r="D32" s="2">
        <v>16</v>
      </c>
      <c r="E32" s="2">
        <f t="shared" si="4"/>
        <v>45</v>
      </c>
      <c r="F32" s="11">
        <f t="shared" ca="1" si="0"/>
        <v>3.7190769465900497E-2</v>
      </c>
      <c r="G32" s="12">
        <f t="shared" ca="1" si="5"/>
        <v>126824.96203170545</v>
      </c>
      <c r="H32" s="12">
        <f t="shared" ca="1" si="1"/>
        <v>3804.7488609511634</v>
      </c>
      <c r="I32" s="12">
        <f t="shared" ca="1" si="2"/>
        <v>3804.7488609511634</v>
      </c>
      <c r="J32" s="12">
        <f t="shared" ca="1" si="3"/>
        <v>7609.4977219023267</v>
      </c>
      <c r="K32" s="7">
        <v>110238</v>
      </c>
      <c r="L32" s="12">
        <f t="shared" ca="1" si="6"/>
        <v>5527.3648210970423</v>
      </c>
      <c r="M32" s="12">
        <f t="shared" ca="1" si="7"/>
        <v>132378.48142630752</v>
      </c>
      <c r="O32">
        <v>31</v>
      </c>
      <c r="P32" s="10">
        <v>555970.10262218886</v>
      </c>
    </row>
    <row r="33" spans="2:16" ht="16" x14ac:dyDescent="0.4">
      <c r="B33" s="1"/>
      <c r="C33" s="2"/>
      <c r="D33" s="2">
        <v>17</v>
      </c>
      <c r="E33" s="2">
        <f t="shared" si="4"/>
        <v>46</v>
      </c>
      <c r="F33" s="11">
        <f t="shared" ca="1" si="0"/>
        <v>4.5024852089580313E-2</v>
      </c>
      <c r="G33" s="12">
        <f t="shared" ca="1" si="5"/>
        <v>132535.23718844965</v>
      </c>
      <c r="H33" s="12">
        <f t="shared" ca="1" si="1"/>
        <v>3976.0571156534893</v>
      </c>
      <c r="I33" s="12">
        <f t="shared" ca="1" si="2"/>
        <v>3976.0571156534893</v>
      </c>
      <c r="J33" s="12">
        <f t="shared" ca="1" si="3"/>
        <v>7952.1142313069786</v>
      </c>
      <c r="K33" s="7">
        <v>114096</v>
      </c>
      <c r="L33" s="12">
        <f t="shared" ca="1" si="6"/>
        <v>6023.8845474511691</v>
      </c>
      <c r="M33" s="12">
        <f t="shared" ca="1" si="7"/>
        <v>146354.48020506569</v>
      </c>
      <c r="O33">
        <v>32</v>
      </c>
      <c r="P33" s="10">
        <v>574577.29133596364</v>
      </c>
    </row>
    <row r="34" spans="2:16" ht="16" x14ac:dyDescent="0.4">
      <c r="B34" s="1"/>
      <c r="C34" s="2"/>
      <c r="D34" s="2">
        <v>18</v>
      </c>
      <c r="E34" s="2">
        <f t="shared" si="4"/>
        <v>47</v>
      </c>
      <c r="F34" s="11">
        <f t="shared" ca="1" si="0"/>
        <v>3.5127488675138568E-2</v>
      </c>
      <c r="G34" s="12">
        <f t="shared" ca="1" si="5"/>
        <v>137190.8672318437</v>
      </c>
      <c r="H34" s="12">
        <f t="shared" ca="1" si="1"/>
        <v>4115.726016955311</v>
      </c>
      <c r="I34" s="12">
        <f t="shared" ca="1" si="2"/>
        <v>4115.726016955311</v>
      </c>
      <c r="J34" s="12">
        <f t="shared" ca="1" si="3"/>
        <v>8231.452033910622</v>
      </c>
      <c r="K34" s="7">
        <v>118090</v>
      </c>
      <c r="L34" s="12">
        <f t="shared" ca="1" si="6"/>
        <v>6542.7600010439492</v>
      </c>
      <c r="M34" s="12">
        <f t="shared" ca="1" si="7"/>
        <v>161128.69224002026</v>
      </c>
      <c r="O34">
        <v>33</v>
      </c>
      <c r="P34" s="10">
        <v>567661.17275703826</v>
      </c>
    </row>
    <row r="35" spans="2:16" ht="16" x14ac:dyDescent="0.4">
      <c r="B35" s="1"/>
      <c r="C35" s="2"/>
      <c r="D35" s="2">
        <v>19</v>
      </c>
      <c r="E35" s="2">
        <f t="shared" si="4"/>
        <v>48</v>
      </c>
      <c r="F35" s="11">
        <f t="shared" ca="1" si="0"/>
        <v>3.3340455840928068E-2</v>
      </c>
      <c r="G35" s="12">
        <f t="shared" ca="1" si="5"/>
        <v>141764.87328256562</v>
      </c>
      <c r="H35" s="12">
        <f t="shared" ca="1" si="1"/>
        <v>4252.9461984769687</v>
      </c>
      <c r="I35" s="12">
        <f t="shared" ca="1" si="2"/>
        <v>4252.9461984769687</v>
      </c>
      <c r="J35" s="12">
        <f t="shared" ca="1" si="3"/>
        <v>8505.8923969539374</v>
      </c>
      <c r="K35" s="7">
        <v>122223</v>
      </c>
      <c r="L35" s="12">
        <f t="shared" ca="1" si="6"/>
        <v>7079.8622462566173</v>
      </c>
      <c r="M35" s="12">
        <f t="shared" ca="1" si="7"/>
        <v>176714.44688323082</v>
      </c>
      <c r="O35">
        <v>34</v>
      </c>
      <c r="P35" s="10">
        <v>554405.72283761308</v>
      </c>
    </row>
    <row r="36" spans="2:16" ht="16" x14ac:dyDescent="0.4">
      <c r="B36" s="1"/>
      <c r="C36" s="2"/>
      <c r="D36" s="2">
        <v>20</v>
      </c>
      <c r="E36" s="2">
        <f t="shared" si="4"/>
        <v>49</v>
      </c>
      <c r="F36" s="11">
        <f t="shared" ca="1" si="0"/>
        <v>4.2289325601009488E-2</v>
      </c>
      <c r="G36" s="12">
        <f t="shared" ca="1" si="5"/>
        <v>147760.0141675979</v>
      </c>
      <c r="H36" s="12">
        <f t="shared" ca="1" si="1"/>
        <v>4432.8004250279364</v>
      </c>
      <c r="I36" s="12">
        <f t="shared" ca="1" si="2"/>
        <v>4432.8004250279364</v>
      </c>
      <c r="J36" s="12">
        <f t="shared" ca="1" si="3"/>
        <v>8865.6008500558728</v>
      </c>
      <c r="K36" s="7">
        <v>126501</v>
      </c>
      <c r="L36" s="12">
        <f t="shared" ca="1" si="6"/>
        <v>7634.8717251578619</v>
      </c>
      <c r="M36" s="12">
        <f t="shared" ca="1" si="7"/>
        <v>193214.91945844455</v>
      </c>
      <c r="O36">
        <v>35</v>
      </c>
      <c r="P36" s="10">
        <v>569804.55998009513</v>
      </c>
    </row>
    <row r="37" spans="2:16" ht="16" x14ac:dyDescent="0.4">
      <c r="B37" s="1"/>
      <c r="C37" s="2"/>
      <c r="D37" s="2">
        <v>21</v>
      </c>
      <c r="E37" s="2">
        <f t="shared" si="4"/>
        <v>50</v>
      </c>
      <c r="F37" s="11">
        <f t="shared" ca="1" si="0"/>
        <v>4.436592314529194E-2</v>
      </c>
      <c r="G37" s="12">
        <f t="shared" ca="1" si="5"/>
        <v>154315.52360010479</v>
      </c>
      <c r="H37" s="12">
        <f t="shared" ca="1" si="1"/>
        <v>4629.4657080031438</v>
      </c>
      <c r="I37" s="12">
        <f t="shared" ca="1" si="2"/>
        <v>4629.4657080031438</v>
      </c>
      <c r="J37" s="12">
        <f t="shared" ca="1" si="3"/>
        <v>9258.9314160062877</v>
      </c>
      <c r="K37" s="7">
        <v>130928</v>
      </c>
      <c r="L37" s="12">
        <f t="shared" ca="1" si="6"/>
        <v>8213.3521806240078</v>
      </c>
      <c r="M37" s="12">
        <f t="shared" ca="1" si="7"/>
        <v>210687.20305507485</v>
      </c>
      <c r="O37">
        <v>36</v>
      </c>
      <c r="P37" s="10">
        <v>554597.05110493151</v>
      </c>
    </row>
    <row r="38" spans="2:16" ht="16" x14ac:dyDescent="0.4">
      <c r="B38" s="1"/>
      <c r="C38" s="2"/>
      <c r="D38" s="2">
        <v>22</v>
      </c>
      <c r="E38" s="2">
        <f t="shared" si="4"/>
        <v>51</v>
      </c>
      <c r="F38" s="11">
        <f t="shared" ca="1" si="0"/>
        <v>4.8657627709498462E-2</v>
      </c>
      <c r="G38" s="12">
        <f t="shared" ca="1" si="5"/>
        <v>161824.15089723503</v>
      </c>
      <c r="H38" s="12">
        <f t="shared" ca="1" si="1"/>
        <v>4854.7245269170508</v>
      </c>
      <c r="I38" s="12">
        <f t="shared" ca="1" si="2"/>
        <v>4854.7245269170508</v>
      </c>
      <c r="J38" s="12">
        <f t="shared" ca="1" si="3"/>
        <v>9709.4490538341015</v>
      </c>
      <c r="K38" s="7">
        <v>135511</v>
      </c>
      <c r="L38" s="12">
        <f t="shared" ca="1" si="6"/>
        <v>8817.4974555184181</v>
      </c>
      <c r="M38" s="12">
        <f t="shared" ca="1" si="7"/>
        <v>229214.14956442738</v>
      </c>
      <c r="O38">
        <v>37</v>
      </c>
      <c r="P38" s="10">
        <v>581550.11223203898</v>
      </c>
    </row>
    <row r="39" spans="2:16" ht="16" x14ac:dyDescent="0.4">
      <c r="B39" s="1"/>
      <c r="C39" s="2"/>
      <c r="D39" s="2">
        <v>23</v>
      </c>
      <c r="E39" s="2">
        <f t="shared" si="4"/>
        <v>52</v>
      </c>
      <c r="F39" s="11">
        <f t="shared" ca="1" si="0"/>
        <v>4.3878459894995517E-2</v>
      </c>
      <c r="G39" s="12">
        <f t="shared" ca="1" si="5"/>
        <v>168924.74541242106</v>
      </c>
      <c r="H39" s="12">
        <f t="shared" ca="1" si="1"/>
        <v>5067.7423623726318</v>
      </c>
      <c r="I39" s="12">
        <f t="shared" ca="1" si="2"/>
        <v>5067.7423623726318</v>
      </c>
      <c r="J39" s="12">
        <f t="shared" ca="1" si="3"/>
        <v>10135.484724745264</v>
      </c>
      <c r="K39" s="7">
        <v>140253</v>
      </c>
      <c r="L39" s="12">
        <f t="shared" ca="1" si="6"/>
        <v>9451.039006281093</v>
      </c>
      <c r="M39" s="12">
        <f t="shared" ca="1" si="7"/>
        <v>248800.67329545374</v>
      </c>
      <c r="O39">
        <v>38</v>
      </c>
      <c r="P39" s="10">
        <v>569345.1689011883</v>
      </c>
    </row>
    <row r="40" spans="2:16" ht="16" x14ac:dyDescent="0.4">
      <c r="B40" s="1"/>
      <c r="C40" s="2"/>
      <c r="D40" s="2">
        <v>24</v>
      </c>
      <c r="E40" s="2">
        <f t="shared" si="4"/>
        <v>53</v>
      </c>
      <c r="F40" s="11">
        <f t="shared" ca="1" si="0"/>
        <v>3.6783336537423286E-2</v>
      </c>
      <c r="G40" s="12">
        <f t="shared" ca="1" si="5"/>
        <v>175138.36117242469</v>
      </c>
      <c r="H40" s="12">
        <f t="shared" ca="1" si="1"/>
        <v>5254.1508351727407</v>
      </c>
      <c r="I40" s="12">
        <f t="shared" ca="1" si="2"/>
        <v>5254.1508351727407</v>
      </c>
      <c r="J40" s="12">
        <f t="shared" ca="1" si="3"/>
        <v>10508.301670345481</v>
      </c>
      <c r="K40" s="7">
        <v>145162</v>
      </c>
      <c r="L40" s="12">
        <f t="shared" ca="1" si="6"/>
        <v>10112.379384570722</v>
      </c>
      <c r="M40" s="12">
        <f t="shared" ca="1" si="7"/>
        <v>269421.35435036995</v>
      </c>
      <c r="O40">
        <v>39</v>
      </c>
      <c r="P40" s="10">
        <v>551347.88115545257</v>
      </c>
    </row>
    <row r="41" spans="2:16" ht="16" x14ac:dyDescent="0.4">
      <c r="B41" s="1"/>
      <c r="C41" s="2"/>
      <c r="D41" s="2">
        <v>25</v>
      </c>
      <c r="E41" s="2">
        <f t="shared" si="4"/>
        <v>54</v>
      </c>
      <c r="F41" s="11">
        <f t="shared" ca="1" si="0"/>
        <v>3.0340124851942998E-2</v>
      </c>
      <c r="G41" s="12">
        <f t="shared" ca="1" si="5"/>
        <v>180452.08091676075</v>
      </c>
      <c r="H41" s="12">
        <f t="shared" ca="1" si="1"/>
        <v>5413.5624275028222</v>
      </c>
      <c r="I41" s="12">
        <f t="shared" ca="1" si="2"/>
        <v>5413.5624275028222</v>
      </c>
      <c r="J41" s="12">
        <f t="shared" ca="1" si="3"/>
        <v>10827.124855005644</v>
      </c>
      <c r="K41" s="7">
        <v>150243</v>
      </c>
      <c r="L41" s="12">
        <f t="shared" ca="1" si="6"/>
        <v>10798.046068560765</v>
      </c>
      <c r="M41" s="12">
        <f t="shared" ca="1" si="7"/>
        <v>291046.52527393633</v>
      </c>
      <c r="O41">
        <v>40</v>
      </c>
      <c r="P41" s="10">
        <v>556317.05884508591</v>
      </c>
    </row>
    <row r="42" spans="2:16" ht="16" x14ac:dyDescent="0.4">
      <c r="B42" s="1"/>
      <c r="C42" s="2"/>
      <c r="D42" s="2">
        <v>26</v>
      </c>
      <c r="E42" s="2">
        <f t="shared" si="4"/>
        <v>55</v>
      </c>
      <c r="F42" s="11">
        <f t="shared" ca="1" si="0"/>
        <v>3.6223731441096862E-2</v>
      </c>
      <c r="G42" s="12">
        <f t="shared" ca="1" si="5"/>
        <v>186988.72863387657</v>
      </c>
      <c r="H42" s="12">
        <f t="shared" ca="1" si="1"/>
        <v>5609.6618590162971</v>
      </c>
      <c r="I42" s="12">
        <f t="shared" ca="1" si="2"/>
        <v>5609.6618590162971</v>
      </c>
      <c r="J42" s="12">
        <f t="shared" ca="1" si="3"/>
        <v>11219.323718032594</v>
      </c>
      <c r="K42" s="7">
        <v>155502</v>
      </c>
      <c r="L42" s="12">
        <f t="shared" ca="1" si="6"/>
        <v>11504.515965349883</v>
      </c>
      <c r="M42" s="12">
        <f t="shared" ca="1" si="7"/>
        <v>313770.36495731882</v>
      </c>
      <c r="O42">
        <v>41</v>
      </c>
      <c r="P42" s="10">
        <v>563093.88864064717</v>
      </c>
    </row>
    <row r="43" spans="2:16" ht="16" x14ac:dyDescent="0.4">
      <c r="B43" s="1"/>
      <c r="C43" s="2"/>
      <c r="D43" s="2">
        <v>27</v>
      </c>
      <c r="E43" s="2">
        <f t="shared" si="4"/>
        <v>56</v>
      </c>
      <c r="F43" s="11">
        <f t="shared" ca="1" si="0"/>
        <v>3.5759279656085441E-2</v>
      </c>
      <c r="G43" s="12">
        <f t="shared" ca="1" si="5"/>
        <v>193675.31087363124</v>
      </c>
      <c r="H43" s="12">
        <f t="shared" ca="1" si="1"/>
        <v>5810.2593262089367</v>
      </c>
      <c r="I43" s="12">
        <f t="shared" ca="1" si="2"/>
        <v>5810.2593262089367</v>
      </c>
      <c r="J43" s="12">
        <f t="shared" ca="1" si="3"/>
        <v>11620.518652417873</v>
      </c>
      <c r="K43" s="7">
        <v>160944</v>
      </c>
      <c r="L43" s="12">
        <f t="shared" ca="1" si="6"/>
        <v>12236.57683795151</v>
      </c>
      <c r="M43" s="12">
        <f t="shared" ca="1" si="7"/>
        <v>337627.46044768818</v>
      </c>
      <c r="O43">
        <v>42</v>
      </c>
      <c r="P43" s="10">
        <v>541297.28315500985</v>
      </c>
    </row>
    <row r="44" spans="2:16" ht="16" x14ac:dyDescent="0.4">
      <c r="B44" s="1"/>
      <c r="C44" s="2"/>
      <c r="D44" s="2">
        <v>28</v>
      </c>
      <c r="E44" s="2">
        <f t="shared" si="4"/>
        <v>57</v>
      </c>
      <c r="F44" s="11">
        <f t="shared" ca="1" si="0"/>
        <v>3.4998444388176397E-2</v>
      </c>
      <c r="G44" s="12">
        <f t="shared" ca="1" si="5"/>
        <v>200453.6454706048</v>
      </c>
      <c r="H44" s="12">
        <f t="shared" ca="1" si="1"/>
        <v>6013.6093641181433</v>
      </c>
      <c r="I44" s="12">
        <f t="shared" ca="1" si="2"/>
        <v>6013.6093641181433</v>
      </c>
      <c r="J44" s="12">
        <f t="shared" ca="1" si="3"/>
        <v>12027.218728236287</v>
      </c>
      <c r="K44" s="7">
        <v>166577</v>
      </c>
      <c r="L44" s="12">
        <f t="shared" ca="1" si="6"/>
        <v>12994.815680021777</v>
      </c>
      <c r="M44" s="12">
        <f t="shared" ca="1" si="7"/>
        <v>362649.49485594622</v>
      </c>
      <c r="O44">
        <v>43</v>
      </c>
      <c r="P44" s="10">
        <v>567677.82176100858</v>
      </c>
    </row>
    <row r="45" spans="2:16" ht="16" x14ac:dyDescent="0.4">
      <c r="B45" s="1"/>
      <c r="C45" s="2"/>
      <c r="D45" s="2">
        <v>29</v>
      </c>
      <c r="E45" s="2">
        <f t="shared" si="4"/>
        <v>58</v>
      </c>
      <c r="F45" s="11">
        <f t="shared" ca="1" si="0"/>
        <v>2.9716046505694337E-2</v>
      </c>
      <c r="G45" s="12">
        <f t="shared" ca="1" si="5"/>
        <v>206410.33532164522</v>
      </c>
      <c r="H45" s="12">
        <f t="shared" ca="1" si="1"/>
        <v>6192.3100596493568</v>
      </c>
      <c r="I45" s="12">
        <f t="shared" ca="1" si="2"/>
        <v>6192.3100596493568</v>
      </c>
      <c r="J45" s="12">
        <f t="shared" ca="1" si="3"/>
        <v>12384.620119298714</v>
      </c>
      <c r="K45" s="7">
        <v>172407</v>
      </c>
      <c r="L45" s="12">
        <f t="shared" ca="1" si="6"/>
        <v>13779.591702039193</v>
      </c>
      <c r="M45" s="12">
        <f t="shared" ca="1" si="7"/>
        <v>388813.70667728415</v>
      </c>
      <c r="O45">
        <v>44</v>
      </c>
      <c r="P45" s="10">
        <v>572973.95721911499</v>
      </c>
    </row>
    <row r="46" spans="2:16" ht="16" x14ac:dyDescent="0.4">
      <c r="B46" s="1"/>
      <c r="C46" s="2"/>
      <c r="D46" s="2">
        <v>30</v>
      </c>
      <c r="E46" s="2">
        <f t="shared" si="4"/>
        <v>59</v>
      </c>
      <c r="F46" s="11">
        <f t="shared" ca="1" si="0"/>
        <v>3.9981877245248258E-2</v>
      </c>
      <c r="G46" s="12">
        <f t="shared" ca="1" si="5"/>
        <v>214663.00801062578</v>
      </c>
      <c r="H46" s="12">
        <f t="shared" ca="1" si="1"/>
        <v>6439.8902403187731</v>
      </c>
      <c r="I46" s="12">
        <f t="shared" ca="1" si="2"/>
        <v>6439.8902403187731</v>
      </c>
      <c r="J46" s="12">
        <f t="shared" ca="1" si="3"/>
        <v>12879.780480637546</v>
      </c>
      <c r="K46" s="7">
        <v>178442</v>
      </c>
      <c r="L46" s="12">
        <f t="shared" ca="1" si="6"/>
        <v>14587.688164823434</v>
      </c>
      <c r="M46" s="12">
        <f t="shared" ca="1" si="7"/>
        <v>416281.17532274511</v>
      </c>
      <c r="O46">
        <v>45</v>
      </c>
      <c r="P46" s="10">
        <v>566425.90892608499</v>
      </c>
    </row>
    <row r="47" spans="2:16" ht="16" x14ac:dyDescent="0.4">
      <c r="B47" s="1"/>
      <c r="C47" s="2"/>
      <c r="D47" s="2">
        <v>31</v>
      </c>
      <c r="E47" s="2">
        <f t="shared" si="4"/>
        <v>60</v>
      </c>
      <c r="F47" s="11">
        <f t="shared" ca="1" si="0"/>
        <v>3.5896409616331282E-2</v>
      </c>
      <c r="G47" s="12">
        <f t="shared" ca="1" si="5"/>
        <v>222368.63927564901</v>
      </c>
      <c r="H47" s="12">
        <f t="shared" ca="1" si="1"/>
        <v>6671.0591782694701</v>
      </c>
      <c r="I47" s="12">
        <f t="shared" ca="1" si="2"/>
        <v>6671.0591782694701</v>
      </c>
      <c r="J47" s="12">
        <f t="shared" ca="1" si="3"/>
        <v>13342.11835653894</v>
      </c>
      <c r="K47" s="7">
        <v>184687</v>
      </c>
      <c r="L47" s="12">
        <f t="shared" ca="1" si="6"/>
        <v>15428.093841185033</v>
      </c>
      <c r="M47" s="12">
        <f t="shared" ca="1" si="7"/>
        <v>445051.38752046908</v>
      </c>
      <c r="O47">
        <v>46</v>
      </c>
      <c r="P47" s="10">
        <v>569130.58622185839</v>
      </c>
    </row>
    <row r="48" spans="2:16" ht="16" x14ac:dyDescent="0.4">
      <c r="B48" s="1"/>
      <c r="C48" s="2"/>
      <c r="D48" s="2">
        <v>32</v>
      </c>
      <c r="E48" s="2">
        <f t="shared" si="4"/>
        <v>61</v>
      </c>
      <c r="F48" s="11">
        <f t="shared" ca="1" si="0"/>
        <v>3.3707543194780566E-2</v>
      </c>
      <c r="G48" s="12">
        <f t="shared" ca="1" si="5"/>
        <v>229864.13978919754</v>
      </c>
      <c r="H48" s="12">
        <f t="shared" ca="1" si="1"/>
        <v>6895.9241936759254</v>
      </c>
      <c r="I48" s="12">
        <f t="shared" ca="1" si="2"/>
        <v>6895.9241936759254</v>
      </c>
      <c r="J48" s="12">
        <f t="shared" ca="1" si="3"/>
        <v>13791.848387351851</v>
      </c>
      <c r="K48" s="7">
        <v>191151</v>
      </c>
      <c r="L48" s="12">
        <f t="shared" ca="1" si="6"/>
        <v>16298.667063949199</v>
      </c>
      <c r="M48" s="12">
        <f t="shared" ca="1" si="7"/>
        <v>475141.90297177015</v>
      </c>
      <c r="O48">
        <v>47</v>
      </c>
      <c r="P48" s="10">
        <v>573798.49043127534</v>
      </c>
    </row>
    <row r="49" spans="2:16" ht="16" x14ac:dyDescent="0.4">
      <c r="B49" s="1"/>
      <c r="C49" s="2"/>
      <c r="D49" s="2">
        <v>33</v>
      </c>
      <c r="E49" s="2">
        <f t="shared" si="4"/>
        <v>62</v>
      </c>
      <c r="F49" s="11">
        <f t="shared" ca="1" si="0"/>
        <v>4.0285852659695656E-2</v>
      </c>
      <c r="G49" s="12">
        <f t="shared" ca="1" si="5"/>
        <v>239124.41265649284</v>
      </c>
      <c r="H49" s="12">
        <f t="shared" ca="1" si="1"/>
        <v>7173.7323796947849</v>
      </c>
      <c r="I49" s="12">
        <f t="shared" ca="1" si="2"/>
        <v>7173.7323796947849</v>
      </c>
      <c r="J49" s="12">
        <f t="shared" ca="1" si="3"/>
        <v>14347.46475938957</v>
      </c>
      <c r="K49" s="7">
        <v>197841</v>
      </c>
      <c r="L49" s="12">
        <f t="shared" ca="1" si="6"/>
        <v>17198.585171223905</v>
      </c>
      <c r="M49" s="12">
        <f t="shared" ca="1" si="7"/>
        <v>506687.95290238364</v>
      </c>
      <c r="O49">
        <v>48</v>
      </c>
      <c r="P49" s="10">
        <v>545479.78820985195</v>
      </c>
    </row>
    <row r="50" spans="2:16" ht="16" x14ac:dyDescent="0.4">
      <c r="B50" s="1"/>
      <c r="C50" s="2"/>
      <c r="D50" s="2">
        <v>34</v>
      </c>
      <c r="E50" s="2">
        <f t="shared" si="4"/>
        <v>63</v>
      </c>
      <c r="F50" s="11">
        <f t="shared" ca="1" si="0"/>
        <v>3.7728267223491714E-2</v>
      </c>
      <c r="G50" s="12">
        <f t="shared" ca="1" si="5"/>
        <v>248146.16239685751</v>
      </c>
      <c r="H50" s="12">
        <f t="shared" ca="1" si="1"/>
        <v>7444.384871905725</v>
      </c>
      <c r="I50" s="12">
        <f t="shared" ca="1" si="2"/>
        <v>7444.384871905725</v>
      </c>
      <c r="J50" s="12">
        <f t="shared" ca="1" si="3"/>
        <v>14888.76974381145</v>
      </c>
      <c r="K50" s="7">
        <v>204766</v>
      </c>
      <c r="L50" s="12">
        <f t="shared" ca="1" si="6"/>
        <v>18134.757246774076</v>
      </c>
      <c r="M50" s="12">
        <f t="shared" ca="1" si="7"/>
        <v>539711.47989296913</v>
      </c>
      <c r="O50">
        <v>49</v>
      </c>
      <c r="P50" s="10">
        <v>552521.74924966577</v>
      </c>
    </row>
    <row r="51" spans="2:16" ht="16" x14ac:dyDescent="0.4">
      <c r="B51" s="1"/>
      <c r="C51" s="2"/>
      <c r="D51" s="2">
        <v>35</v>
      </c>
      <c r="E51" s="2">
        <f t="shared" si="4"/>
        <v>64</v>
      </c>
      <c r="F51" s="11">
        <f t="shared" ca="1" si="0"/>
        <v>4.1193030224288101E-2</v>
      </c>
      <c r="G51" s="12">
        <f t="shared" ca="1" si="5"/>
        <v>258368.05476451234</v>
      </c>
      <c r="H51" s="12">
        <f t="shared" ca="1" si="1"/>
        <v>7751.04164293537</v>
      </c>
      <c r="I51" s="12">
        <f t="shared" ca="1" si="2"/>
        <v>7751.04164293537</v>
      </c>
      <c r="J51" s="12">
        <f t="shared" ca="1" si="3"/>
        <v>15502.08328587074</v>
      </c>
      <c r="K51" s="7">
        <v>211933</v>
      </c>
      <c r="L51" s="12">
        <f t="shared" ca="1" si="6"/>
        <v>19106.249472557774</v>
      </c>
      <c r="M51" s="12">
        <f t="shared" ca="1" si="7"/>
        <v>574319.81265139766</v>
      </c>
      <c r="O51">
        <v>50</v>
      </c>
      <c r="P51" s="10">
        <v>555306.80488416296</v>
      </c>
    </row>
    <row r="52" spans="2:16" ht="16" x14ac:dyDescent="0.4">
      <c r="B52" s="1"/>
      <c r="C52" s="2"/>
      <c r="D52" s="2">
        <v>36</v>
      </c>
      <c r="E52" s="2">
        <f t="shared" si="4"/>
        <v>65</v>
      </c>
      <c r="F52" s="11">
        <f t="shared" ca="1" si="0"/>
        <v>4.4626987546203596E-2</v>
      </c>
      <c r="G52" s="12">
        <f t="shared" ca="1" si="5"/>
        <v>269898.24272682506</v>
      </c>
      <c r="H52" s="12">
        <f t="shared" ca="1" si="1"/>
        <v>8096.9472818047516</v>
      </c>
      <c r="I52" s="12">
        <f t="shared" ca="1" si="2"/>
        <v>8096.9472818047516</v>
      </c>
      <c r="J52" s="12">
        <f t="shared" ca="1" si="3"/>
        <v>16193.894563609503</v>
      </c>
      <c r="K52" s="7">
        <v>219350</v>
      </c>
      <c r="L52" s="12">
        <f t="shared" ca="1" si="6"/>
        <v>20117.760406960839</v>
      </c>
      <c r="M52" s="12">
        <f ca="1">J52+L52+M51</f>
        <v>610631.46762196801</v>
      </c>
      <c r="O52">
        <v>51</v>
      </c>
      <c r="P52" s="10">
        <v>552152.05190043536</v>
      </c>
    </row>
    <row r="53" spans="2:16" x14ac:dyDescent="0.35">
      <c r="O53">
        <v>52</v>
      </c>
      <c r="P53" s="10">
        <v>573544.42038560263</v>
      </c>
    </row>
    <row r="54" spans="2:16" x14ac:dyDescent="0.35">
      <c r="O54">
        <v>53</v>
      </c>
      <c r="P54" s="10">
        <v>556503.99823398481</v>
      </c>
    </row>
    <row r="55" spans="2:16" x14ac:dyDescent="0.35">
      <c r="O55">
        <v>54</v>
      </c>
      <c r="P55" s="10">
        <v>569661.60847452655</v>
      </c>
    </row>
    <row r="56" spans="2:16" x14ac:dyDescent="0.35">
      <c r="O56">
        <v>55</v>
      </c>
      <c r="P56" s="10">
        <v>565410.11233561684</v>
      </c>
    </row>
    <row r="57" spans="2:16" x14ac:dyDescent="0.35">
      <c r="O57">
        <v>56</v>
      </c>
      <c r="P57" s="10">
        <v>555249.01373877539</v>
      </c>
    </row>
    <row r="58" spans="2:16" x14ac:dyDescent="0.35">
      <c r="O58">
        <v>57</v>
      </c>
      <c r="P58" s="10">
        <v>560637.27906155959</v>
      </c>
    </row>
    <row r="59" spans="2:16" x14ac:dyDescent="0.35">
      <c r="O59">
        <v>58</v>
      </c>
      <c r="P59" s="10">
        <v>555747.41991484608</v>
      </c>
    </row>
    <row r="60" spans="2:16" x14ac:dyDescent="0.35">
      <c r="O60">
        <v>59</v>
      </c>
      <c r="P60" s="10">
        <v>555290.08881482261</v>
      </c>
    </row>
    <row r="61" spans="2:16" x14ac:dyDescent="0.35">
      <c r="O61">
        <v>60</v>
      </c>
      <c r="P61" s="10">
        <v>563778.49512790272</v>
      </c>
    </row>
    <row r="62" spans="2:16" x14ac:dyDescent="0.35">
      <c r="O62">
        <v>61</v>
      </c>
      <c r="P62" s="10">
        <v>562339.32542708551</v>
      </c>
    </row>
    <row r="63" spans="2:16" x14ac:dyDescent="0.35">
      <c r="O63">
        <v>62</v>
      </c>
      <c r="P63" s="10">
        <v>559995.50661544374</v>
      </c>
    </row>
    <row r="64" spans="2:16" x14ac:dyDescent="0.35">
      <c r="O64">
        <v>63</v>
      </c>
      <c r="P64" s="10">
        <v>559364.60451122641</v>
      </c>
    </row>
    <row r="65" spans="15:16" x14ac:dyDescent="0.35">
      <c r="O65">
        <v>64</v>
      </c>
      <c r="P65" s="10">
        <v>547853.05071656406</v>
      </c>
    </row>
    <row r="66" spans="15:16" x14ac:dyDescent="0.35">
      <c r="O66">
        <v>65</v>
      </c>
      <c r="P66" s="10">
        <v>555958.41177741904</v>
      </c>
    </row>
    <row r="67" spans="15:16" x14ac:dyDescent="0.35">
      <c r="O67">
        <v>66</v>
      </c>
      <c r="P67" s="10">
        <v>551018.75117957452</v>
      </c>
    </row>
    <row r="68" spans="15:16" x14ac:dyDescent="0.35">
      <c r="O68">
        <v>67</v>
      </c>
      <c r="P68" s="10">
        <v>582541.03122721519</v>
      </c>
    </row>
    <row r="69" spans="15:16" x14ac:dyDescent="0.35">
      <c r="O69">
        <v>68</v>
      </c>
      <c r="P69" s="10">
        <v>554645.6449673071</v>
      </c>
    </row>
    <row r="70" spans="15:16" x14ac:dyDescent="0.35">
      <c r="O70">
        <v>69</v>
      </c>
      <c r="P70" s="10">
        <v>568159.49249354005</v>
      </c>
    </row>
    <row r="71" spans="15:16" x14ac:dyDescent="0.35">
      <c r="O71">
        <v>70</v>
      </c>
      <c r="P71" s="10">
        <v>540281.64958398929</v>
      </c>
    </row>
    <row r="72" spans="15:16" x14ac:dyDescent="0.35">
      <c r="O72">
        <v>71</v>
      </c>
      <c r="P72" s="10">
        <v>562825.16158911434</v>
      </c>
    </row>
    <row r="73" spans="15:16" x14ac:dyDescent="0.35">
      <c r="O73">
        <v>72</v>
      </c>
      <c r="P73" s="10">
        <v>560174.94488325797</v>
      </c>
    </row>
    <row r="74" spans="15:16" x14ac:dyDescent="0.35">
      <c r="O74">
        <v>73</v>
      </c>
      <c r="P74" s="10">
        <v>548711.29581838392</v>
      </c>
    </row>
    <row r="75" spans="15:16" x14ac:dyDescent="0.35">
      <c r="O75">
        <v>74</v>
      </c>
      <c r="P75" s="10">
        <v>587080.87691521272</v>
      </c>
    </row>
    <row r="76" spans="15:16" x14ac:dyDescent="0.35">
      <c r="O76">
        <v>75</v>
      </c>
      <c r="P76" s="10">
        <v>560618.31202192802</v>
      </c>
    </row>
    <row r="77" spans="15:16" x14ac:dyDescent="0.35">
      <c r="O77">
        <v>76</v>
      </c>
      <c r="P77" s="10">
        <v>546624.18828619667</v>
      </c>
    </row>
    <row r="78" spans="15:16" x14ac:dyDescent="0.35">
      <c r="O78">
        <v>77</v>
      </c>
      <c r="P78" s="10">
        <v>545650.8583766612</v>
      </c>
    </row>
    <row r="79" spans="15:16" x14ac:dyDescent="0.35">
      <c r="O79">
        <v>78</v>
      </c>
      <c r="P79" s="10">
        <v>551542.03646926081</v>
      </c>
    </row>
    <row r="80" spans="15:16" x14ac:dyDescent="0.35">
      <c r="O80">
        <v>79</v>
      </c>
      <c r="P80" s="10">
        <v>527966.43676321919</v>
      </c>
    </row>
    <row r="81" spans="15:16" x14ac:dyDescent="0.35">
      <c r="O81">
        <v>80</v>
      </c>
      <c r="P81" s="10">
        <v>556168.84110922832</v>
      </c>
    </row>
    <row r="82" spans="15:16" x14ac:dyDescent="0.35">
      <c r="O82">
        <v>81</v>
      </c>
      <c r="P82" s="10">
        <v>567436.07168281195</v>
      </c>
    </row>
    <row r="83" spans="15:16" x14ac:dyDescent="0.35">
      <c r="O83">
        <v>82</v>
      </c>
      <c r="P83" s="10">
        <v>552567.4131105073</v>
      </c>
    </row>
    <row r="84" spans="15:16" x14ac:dyDescent="0.35">
      <c r="O84">
        <v>83</v>
      </c>
      <c r="P84" s="10">
        <v>569278.60112545337</v>
      </c>
    </row>
    <row r="85" spans="15:16" x14ac:dyDescent="0.35">
      <c r="O85">
        <v>84</v>
      </c>
      <c r="P85" s="10">
        <v>560233.66729005601</v>
      </c>
    </row>
    <row r="86" spans="15:16" x14ac:dyDescent="0.35">
      <c r="O86">
        <v>85</v>
      </c>
      <c r="P86" s="10">
        <v>546067.91017291415</v>
      </c>
    </row>
    <row r="87" spans="15:16" x14ac:dyDescent="0.35">
      <c r="O87">
        <v>86</v>
      </c>
      <c r="P87" s="10">
        <v>546053.83718460228</v>
      </c>
    </row>
    <row r="88" spans="15:16" x14ac:dyDescent="0.35">
      <c r="O88">
        <v>87</v>
      </c>
      <c r="P88" s="10">
        <v>568001.91362386628</v>
      </c>
    </row>
    <row r="89" spans="15:16" x14ac:dyDescent="0.35">
      <c r="O89">
        <v>88</v>
      </c>
      <c r="P89" s="10">
        <v>564479.15410515491</v>
      </c>
    </row>
    <row r="90" spans="15:16" x14ac:dyDescent="0.35">
      <c r="O90">
        <v>89</v>
      </c>
      <c r="P90" s="10">
        <v>556570.57531084807</v>
      </c>
    </row>
    <row r="91" spans="15:16" x14ac:dyDescent="0.35">
      <c r="O91">
        <v>90</v>
      </c>
      <c r="P91" s="10">
        <v>552430.158748482</v>
      </c>
    </row>
    <row r="92" spans="15:16" x14ac:dyDescent="0.35">
      <c r="O92">
        <v>91</v>
      </c>
      <c r="P92" s="10">
        <v>573103.14235139615</v>
      </c>
    </row>
    <row r="93" spans="15:16" x14ac:dyDescent="0.35">
      <c r="O93">
        <v>92</v>
      </c>
      <c r="P93" s="10">
        <v>566577.79911867029</v>
      </c>
    </row>
    <row r="94" spans="15:16" x14ac:dyDescent="0.35">
      <c r="O94">
        <v>93</v>
      </c>
      <c r="P94" s="10">
        <v>559073.00740000198</v>
      </c>
    </row>
    <row r="95" spans="15:16" x14ac:dyDescent="0.35">
      <c r="O95">
        <v>94</v>
      </c>
      <c r="P95" s="10">
        <v>576269.63025222253</v>
      </c>
    </row>
    <row r="96" spans="15:16" x14ac:dyDescent="0.35">
      <c r="O96">
        <v>95</v>
      </c>
      <c r="P96" s="10">
        <v>577920.32703250449</v>
      </c>
    </row>
    <row r="97" spans="15:16" x14ac:dyDescent="0.35">
      <c r="O97">
        <v>96</v>
      </c>
      <c r="P97" s="10">
        <v>546968.10010779661</v>
      </c>
    </row>
    <row r="98" spans="15:16" x14ac:dyDescent="0.35">
      <c r="O98">
        <v>97</v>
      </c>
      <c r="P98" s="10">
        <v>542166.82436327799</v>
      </c>
    </row>
    <row r="99" spans="15:16" x14ac:dyDescent="0.35">
      <c r="O99">
        <v>98</v>
      </c>
      <c r="P99" s="10">
        <v>549397.79452163342</v>
      </c>
    </row>
    <row r="100" spans="15:16" x14ac:dyDescent="0.35">
      <c r="O100">
        <v>99</v>
      </c>
      <c r="P100" s="10">
        <v>573141.01875826565</v>
      </c>
    </row>
    <row r="101" spans="15:16" x14ac:dyDescent="0.35">
      <c r="O101">
        <v>100</v>
      </c>
      <c r="P101" s="10">
        <v>541083.16598226398</v>
      </c>
    </row>
    <row r="102" spans="15:16" x14ac:dyDescent="0.35">
      <c r="O102">
        <v>101</v>
      </c>
      <c r="P102" s="10">
        <v>558918.23386816494</v>
      </c>
    </row>
    <row r="103" spans="15:16" x14ac:dyDescent="0.35">
      <c r="O103">
        <v>102</v>
      </c>
      <c r="P103" s="10">
        <v>564974.92065541819</v>
      </c>
    </row>
    <row r="104" spans="15:16" x14ac:dyDescent="0.35">
      <c r="O104">
        <v>103</v>
      </c>
      <c r="P104" s="10">
        <v>540877.57205355098</v>
      </c>
    </row>
    <row r="105" spans="15:16" x14ac:dyDescent="0.35">
      <c r="O105">
        <v>104</v>
      </c>
      <c r="P105" s="10">
        <v>554224.37469996046</v>
      </c>
    </row>
    <row r="106" spans="15:16" x14ac:dyDescent="0.35">
      <c r="O106">
        <v>105</v>
      </c>
      <c r="P106" s="10">
        <v>538888.97196643171</v>
      </c>
    </row>
    <row r="107" spans="15:16" x14ac:dyDescent="0.35">
      <c r="O107">
        <v>106</v>
      </c>
      <c r="P107" s="10">
        <v>552818.25771312299</v>
      </c>
    </row>
    <row r="108" spans="15:16" x14ac:dyDescent="0.35">
      <c r="O108">
        <v>107</v>
      </c>
      <c r="P108" s="10">
        <v>567208.26173347747</v>
      </c>
    </row>
    <row r="109" spans="15:16" x14ac:dyDescent="0.35">
      <c r="O109">
        <v>108</v>
      </c>
      <c r="P109" s="10">
        <v>552795.78615344281</v>
      </c>
    </row>
    <row r="110" spans="15:16" x14ac:dyDescent="0.35">
      <c r="O110">
        <v>109</v>
      </c>
      <c r="P110" s="10">
        <v>550591.31893577205</v>
      </c>
    </row>
    <row r="111" spans="15:16" x14ac:dyDescent="0.35">
      <c r="O111">
        <v>110</v>
      </c>
      <c r="P111" s="10">
        <v>577204.42560003046</v>
      </c>
    </row>
    <row r="112" spans="15:16" x14ac:dyDescent="0.35">
      <c r="O112">
        <v>111</v>
      </c>
      <c r="P112" s="10">
        <v>569814.56537390628</v>
      </c>
    </row>
    <row r="113" spans="15:16" x14ac:dyDescent="0.35">
      <c r="O113">
        <v>112</v>
      </c>
      <c r="P113" s="10">
        <v>564720.37545377051</v>
      </c>
    </row>
    <row r="114" spans="15:16" x14ac:dyDescent="0.35">
      <c r="O114">
        <v>113</v>
      </c>
      <c r="P114" s="10">
        <v>581431.7315066061</v>
      </c>
    </row>
    <row r="115" spans="15:16" x14ac:dyDescent="0.35">
      <c r="O115">
        <v>114</v>
      </c>
      <c r="P115" s="10">
        <v>570692.28621321125</v>
      </c>
    </row>
    <row r="116" spans="15:16" x14ac:dyDescent="0.35">
      <c r="O116">
        <v>115</v>
      </c>
      <c r="P116" s="10">
        <v>565573.07153547357</v>
      </c>
    </row>
    <row r="117" spans="15:16" x14ac:dyDescent="0.35">
      <c r="O117">
        <v>116</v>
      </c>
      <c r="P117" s="10">
        <v>560676.72886580706</v>
      </c>
    </row>
    <row r="118" spans="15:16" x14ac:dyDescent="0.35">
      <c r="O118">
        <v>117</v>
      </c>
      <c r="P118" s="10">
        <v>554787.14840044</v>
      </c>
    </row>
    <row r="119" spans="15:16" x14ac:dyDescent="0.35">
      <c r="O119">
        <v>118</v>
      </c>
      <c r="P119" s="10">
        <v>537904.29169858119</v>
      </c>
    </row>
    <row r="120" spans="15:16" x14ac:dyDescent="0.35">
      <c r="O120">
        <v>119</v>
      </c>
      <c r="P120" s="10">
        <v>577766.24094309274</v>
      </c>
    </row>
    <row r="121" spans="15:16" x14ac:dyDescent="0.35">
      <c r="O121">
        <v>120</v>
      </c>
      <c r="P121" s="10">
        <v>564422.49739995925</v>
      </c>
    </row>
    <row r="122" spans="15:16" x14ac:dyDescent="0.35">
      <c r="O122">
        <v>121</v>
      </c>
      <c r="P122" s="10">
        <v>565743.93330769916</v>
      </c>
    </row>
    <row r="123" spans="15:16" x14ac:dyDescent="0.35">
      <c r="O123">
        <v>122</v>
      </c>
      <c r="P123" s="10">
        <v>552830.28931038536</v>
      </c>
    </row>
    <row r="124" spans="15:16" x14ac:dyDescent="0.35">
      <c r="O124">
        <v>123</v>
      </c>
      <c r="P124" s="10">
        <v>540381.73951985943</v>
      </c>
    </row>
    <row r="125" spans="15:16" x14ac:dyDescent="0.35">
      <c r="O125">
        <v>124</v>
      </c>
      <c r="P125" s="10">
        <v>557242.57618444692</v>
      </c>
    </row>
    <row r="126" spans="15:16" x14ac:dyDescent="0.35">
      <c r="O126">
        <v>125</v>
      </c>
      <c r="P126" s="10">
        <v>559168.09790012368</v>
      </c>
    </row>
    <row r="127" spans="15:16" x14ac:dyDescent="0.35">
      <c r="O127">
        <v>126</v>
      </c>
      <c r="P127" s="10">
        <v>560753.27111438464</v>
      </c>
    </row>
    <row r="128" spans="15:16" x14ac:dyDescent="0.35">
      <c r="O128">
        <v>127</v>
      </c>
      <c r="P128" s="10">
        <v>564909.68421598745</v>
      </c>
    </row>
    <row r="129" spans="15:16" x14ac:dyDescent="0.35">
      <c r="O129">
        <v>128</v>
      </c>
      <c r="P129" s="10">
        <v>522772.76706734003</v>
      </c>
    </row>
    <row r="130" spans="15:16" x14ac:dyDescent="0.35">
      <c r="O130">
        <v>129</v>
      </c>
      <c r="P130" s="10">
        <v>583368.54123366473</v>
      </c>
    </row>
    <row r="131" spans="15:16" x14ac:dyDescent="0.35">
      <c r="O131">
        <v>130</v>
      </c>
      <c r="P131" s="10">
        <v>555233.71399888583</v>
      </c>
    </row>
    <row r="132" spans="15:16" x14ac:dyDescent="0.35">
      <c r="O132">
        <v>131</v>
      </c>
      <c r="P132" s="10">
        <v>553445.16674803337</v>
      </c>
    </row>
    <row r="133" spans="15:16" x14ac:dyDescent="0.35">
      <c r="O133">
        <v>132</v>
      </c>
      <c r="P133" s="10">
        <v>555915.55002858071</v>
      </c>
    </row>
    <row r="134" spans="15:16" x14ac:dyDescent="0.35">
      <c r="O134">
        <v>133</v>
      </c>
      <c r="P134" s="10">
        <v>534947.79485183267</v>
      </c>
    </row>
    <row r="135" spans="15:16" x14ac:dyDescent="0.35">
      <c r="O135">
        <v>134</v>
      </c>
      <c r="P135" s="10">
        <v>564131.40165868518</v>
      </c>
    </row>
    <row r="136" spans="15:16" x14ac:dyDescent="0.35">
      <c r="O136">
        <v>135</v>
      </c>
      <c r="P136" s="10">
        <v>551664.39413861558</v>
      </c>
    </row>
    <row r="137" spans="15:16" x14ac:dyDescent="0.35">
      <c r="O137">
        <v>136</v>
      </c>
      <c r="P137" s="10">
        <v>566627.68576963653</v>
      </c>
    </row>
    <row r="138" spans="15:16" x14ac:dyDescent="0.35">
      <c r="O138">
        <v>137</v>
      </c>
      <c r="P138" s="10">
        <v>540676.87469201977</v>
      </c>
    </row>
    <row r="139" spans="15:16" x14ac:dyDescent="0.35">
      <c r="O139">
        <v>138</v>
      </c>
      <c r="P139" s="10">
        <v>556538.98332079616</v>
      </c>
    </row>
    <row r="140" spans="15:16" x14ac:dyDescent="0.35">
      <c r="O140">
        <v>139</v>
      </c>
      <c r="P140" s="10">
        <v>567428.69941005774</v>
      </c>
    </row>
    <row r="141" spans="15:16" x14ac:dyDescent="0.35">
      <c r="O141">
        <v>140</v>
      </c>
      <c r="P141" s="10">
        <v>571798.11247715645</v>
      </c>
    </row>
    <row r="142" spans="15:16" x14ac:dyDescent="0.35">
      <c r="O142">
        <v>141</v>
      </c>
      <c r="P142" s="10">
        <v>568955.58405605413</v>
      </c>
    </row>
    <row r="143" spans="15:16" x14ac:dyDescent="0.35">
      <c r="O143">
        <v>142</v>
      </c>
      <c r="P143" s="10">
        <v>562889.74116009707</v>
      </c>
    </row>
    <row r="144" spans="15:16" x14ac:dyDescent="0.35">
      <c r="O144">
        <v>143</v>
      </c>
      <c r="P144" s="10">
        <v>571459.36033733515</v>
      </c>
    </row>
    <row r="145" spans="15:16" x14ac:dyDescent="0.35">
      <c r="O145">
        <v>144</v>
      </c>
      <c r="P145" s="10">
        <v>560194.71569427929</v>
      </c>
    </row>
    <row r="146" spans="15:16" x14ac:dyDescent="0.35">
      <c r="O146">
        <v>145</v>
      </c>
      <c r="P146" s="10">
        <v>543334.73471566231</v>
      </c>
    </row>
    <row r="147" spans="15:16" x14ac:dyDescent="0.35">
      <c r="O147">
        <v>146</v>
      </c>
      <c r="P147" s="10">
        <v>556659.11173734849</v>
      </c>
    </row>
    <row r="148" spans="15:16" x14ac:dyDescent="0.35">
      <c r="O148">
        <v>147</v>
      </c>
      <c r="P148" s="10">
        <v>548080.39302736707</v>
      </c>
    </row>
    <row r="149" spans="15:16" x14ac:dyDescent="0.35">
      <c r="O149">
        <v>148</v>
      </c>
      <c r="P149" s="10">
        <v>561981.84727449471</v>
      </c>
    </row>
    <row r="150" spans="15:16" x14ac:dyDescent="0.35">
      <c r="O150">
        <v>149</v>
      </c>
      <c r="P150" s="10">
        <v>553811.23880844004</v>
      </c>
    </row>
    <row r="151" spans="15:16" x14ac:dyDescent="0.35">
      <c r="O151">
        <v>150</v>
      </c>
      <c r="P151" s="10">
        <v>538480.59367073677</v>
      </c>
    </row>
    <row r="152" spans="15:16" x14ac:dyDescent="0.35">
      <c r="O152">
        <v>151</v>
      </c>
      <c r="P152" s="10">
        <v>565175.97968552564</v>
      </c>
    </row>
    <row r="153" spans="15:16" x14ac:dyDescent="0.35">
      <c r="O153">
        <v>152</v>
      </c>
      <c r="P153" s="10">
        <v>584664.42435179721</v>
      </c>
    </row>
    <row r="154" spans="15:16" x14ac:dyDescent="0.35">
      <c r="O154">
        <v>153</v>
      </c>
      <c r="P154" s="10">
        <v>578644.69868964655</v>
      </c>
    </row>
    <row r="155" spans="15:16" x14ac:dyDescent="0.35">
      <c r="O155">
        <v>154</v>
      </c>
      <c r="P155" s="10">
        <v>567102.21516671765</v>
      </c>
    </row>
    <row r="156" spans="15:16" x14ac:dyDescent="0.35">
      <c r="O156">
        <v>155</v>
      </c>
      <c r="P156" s="10">
        <v>551121.0208055015</v>
      </c>
    </row>
    <row r="157" spans="15:16" x14ac:dyDescent="0.35">
      <c r="O157">
        <v>156</v>
      </c>
      <c r="P157" s="10">
        <v>575574.37025622639</v>
      </c>
    </row>
    <row r="158" spans="15:16" x14ac:dyDescent="0.35">
      <c r="O158">
        <v>157</v>
      </c>
      <c r="P158" s="10">
        <v>542367.64930169773</v>
      </c>
    </row>
    <row r="159" spans="15:16" x14ac:dyDescent="0.35">
      <c r="O159">
        <v>158</v>
      </c>
      <c r="P159" s="10">
        <v>558368.22403242148</v>
      </c>
    </row>
    <row r="160" spans="15:16" x14ac:dyDescent="0.35">
      <c r="O160">
        <v>159</v>
      </c>
      <c r="P160" s="10">
        <v>577882.54647074221</v>
      </c>
    </row>
    <row r="161" spans="15:16" x14ac:dyDescent="0.35">
      <c r="O161">
        <v>160</v>
      </c>
      <c r="P161" s="10">
        <v>558480.52234856377</v>
      </c>
    </row>
    <row r="162" spans="15:16" x14ac:dyDescent="0.35">
      <c r="O162">
        <v>161</v>
      </c>
      <c r="P162" s="10">
        <v>562828.3160446079</v>
      </c>
    </row>
    <row r="163" spans="15:16" x14ac:dyDescent="0.35">
      <c r="O163">
        <v>162</v>
      </c>
      <c r="P163" s="10">
        <v>574902.75356341829</v>
      </c>
    </row>
    <row r="164" spans="15:16" x14ac:dyDescent="0.35">
      <c r="O164">
        <v>163</v>
      </c>
      <c r="P164" s="10">
        <v>565048.64409204572</v>
      </c>
    </row>
    <row r="165" spans="15:16" x14ac:dyDescent="0.35">
      <c r="O165">
        <v>164</v>
      </c>
      <c r="P165" s="10">
        <v>555230.79466941755</v>
      </c>
    </row>
    <row r="166" spans="15:16" x14ac:dyDescent="0.35">
      <c r="O166">
        <v>165</v>
      </c>
      <c r="P166" s="10">
        <v>557471.83381926292</v>
      </c>
    </row>
    <row r="167" spans="15:16" x14ac:dyDescent="0.35">
      <c r="O167">
        <v>166</v>
      </c>
      <c r="P167" s="10">
        <v>563593.39329790359</v>
      </c>
    </row>
    <row r="168" spans="15:16" x14ac:dyDescent="0.35">
      <c r="O168">
        <v>167</v>
      </c>
      <c r="P168" s="10">
        <v>592912.03615348181</v>
      </c>
    </row>
    <row r="169" spans="15:16" x14ac:dyDescent="0.35">
      <c r="O169">
        <v>168</v>
      </c>
      <c r="P169" s="10">
        <v>556711.15463818226</v>
      </c>
    </row>
    <row r="170" spans="15:16" x14ac:dyDescent="0.35">
      <c r="O170">
        <v>169</v>
      </c>
      <c r="P170" s="10">
        <v>557761.03385498608</v>
      </c>
    </row>
    <row r="171" spans="15:16" x14ac:dyDescent="0.35">
      <c r="O171">
        <v>170</v>
      </c>
      <c r="P171" s="10">
        <v>551129.10811697494</v>
      </c>
    </row>
    <row r="172" spans="15:16" x14ac:dyDescent="0.35">
      <c r="O172">
        <v>171</v>
      </c>
      <c r="P172" s="10">
        <v>573935.81051742926</v>
      </c>
    </row>
    <row r="173" spans="15:16" x14ac:dyDescent="0.35">
      <c r="O173">
        <v>172</v>
      </c>
      <c r="P173" s="10">
        <v>543992.72902307473</v>
      </c>
    </row>
    <row r="174" spans="15:16" x14ac:dyDescent="0.35">
      <c r="O174">
        <v>173</v>
      </c>
      <c r="P174" s="10">
        <v>562179.8513619923</v>
      </c>
    </row>
    <row r="175" spans="15:16" x14ac:dyDescent="0.35">
      <c r="O175">
        <v>174</v>
      </c>
      <c r="P175" s="10">
        <v>568356.70870689303</v>
      </c>
    </row>
    <row r="176" spans="15:16" x14ac:dyDescent="0.35">
      <c r="O176">
        <v>175</v>
      </c>
      <c r="P176" s="10">
        <v>557390.12834302278</v>
      </c>
    </row>
    <row r="177" spans="15:16" x14ac:dyDescent="0.35">
      <c r="O177">
        <v>176</v>
      </c>
      <c r="P177" s="10">
        <v>558264.86247092229</v>
      </c>
    </row>
    <row r="178" spans="15:16" x14ac:dyDescent="0.35">
      <c r="O178">
        <v>177</v>
      </c>
      <c r="P178" s="10">
        <v>550410.81825713313</v>
      </c>
    </row>
    <row r="179" spans="15:16" x14ac:dyDescent="0.35">
      <c r="O179">
        <v>178</v>
      </c>
      <c r="P179" s="10">
        <v>567818.84525255172</v>
      </c>
    </row>
    <row r="180" spans="15:16" x14ac:dyDescent="0.35">
      <c r="O180">
        <v>179</v>
      </c>
      <c r="P180" s="10">
        <v>562333.04338925856</v>
      </c>
    </row>
    <row r="181" spans="15:16" x14ac:dyDescent="0.35">
      <c r="O181">
        <v>180</v>
      </c>
      <c r="P181" s="10">
        <v>560381.84410912159</v>
      </c>
    </row>
    <row r="182" spans="15:16" x14ac:dyDescent="0.35">
      <c r="O182">
        <v>181</v>
      </c>
      <c r="P182" s="10">
        <v>567550.6497169229</v>
      </c>
    </row>
    <row r="183" spans="15:16" x14ac:dyDescent="0.35">
      <c r="O183">
        <v>182</v>
      </c>
      <c r="P183" s="10">
        <v>556548.80677340622</v>
      </c>
    </row>
    <row r="184" spans="15:16" x14ac:dyDescent="0.35">
      <c r="O184">
        <v>183</v>
      </c>
      <c r="P184" s="10">
        <v>560264.95721206954</v>
      </c>
    </row>
    <row r="185" spans="15:16" x14ac:dyDescent="0.35">
      <c r="O185">
        <v>184</v>
      </c>
      <c r="P185" s="10">
        <v>577906.7380985819</v>
      </c>
    </row>
    <row r="186" spans="15:16" x14ac:dyDescent="0.35">
      <c r="O186">
        <v>185</v>
      </c>
      <c r="P186" s="10">
        <v>550233.83398311422</v>
      </c>
    </row>
    <row r="187" spans="15:16" x14ac:dyDescent="0.35">
      <c r="O187">
        <v>186</v>
      </c>
      <c r="P187" s="10">
        <v>546315.52697529458</v>
      </c>
    </row>
    <row r="188" spans="15:16" x14ac:dyDescent="0.35">
      <c r="O188">
        <v>187</v>
      </c>
      <c r="P188" s="10">
        <v>538235.06938042946</v>
      </c>
    </row>
    <row r="189" spans="15:16" x14ac:dyDescent="0.35">
      <c r="O189">
        <v>188</v>
      </c>
      <c r="P189" s="10">
        <v>585372.88765018014</v>
      </c>
    </row>
    <row r="190" spans="15:16" x14ac:dyDescent="0.35">
      <c r="O190">
        <v>189</v>
      </c>
      <c r="P190" s="10">
        <v>569107.34342375689</v>
      </c>
    </row>
    <row r="191" spans="15:16" x14ac:dyDescent="0.35">
      <c r="O191">
        <v>190</v>
      </c>
      <c r="P191" s="10">
        <v>573077.59517326613</v>
      </c>
    </row>
    <row r="192" spans="15:16" x14ac:dyDescent="0.35">
      <c r="O192">
        <v>191</v>
      </c>
      <c r="P192" s="10">
        <v>571592.3843639663</v>
      </c>
    </row>
    <row r="193" spans="15:16" x14ac:dyDescent="0.35">
      <c r="O193">
        <v>192</v>
      </c>
      <c r="P193" s="10">
        <v>558576.28775611462</v>
      </c>
    </row>
    <row r="194" spans="15:16" x14ac:dyDescent="0.35">
      <c r="O194">
        <v>193</v>
      </c>
      <c r="P194" s="10">
        <v>570683.50164957589</v>
      </c>
    </row>
    <row r="195" spans="15:16" x14ac:dyDescent="0.35">
      <c r="O195">
        <v>194</v>
      </c>
      <c r="P195" s="10">
        <v>561697.68136175163</v>
      </c>
    </row>
    <row r="196" spans="15:16" x14ac:dyDescent="0.35">
      <c r="O196">
        <v>195</v>
      </c>
      <c r="P196" s="10">
        <v>551149.92581484385</v>
      </c>
    </row>
    <row r="197" spans="15:16" x14ac:dyDescent="0.35">
      <c r="O197">
        <v>196</v>
      </c>
      <c r="P197" s="10">
        <v>569302.68761163775</v>
      </c>
    </row>
    <row r="198" spans="15:16" x14ac:dyDescent="0.35">
      <c r="O198">
        <v>197</v>
      </c>
      <c r="P198" s="10">
        <v>525684.59007032868</v>
      </c>
    </row>
    <row r="199" spans="15:16" x14ac:dyDescent="0.35">
      <c r="O199">
        <v>198</v>
      </c>
      <c r="P199" s="10">
        <v>559025.76394993055</v>
      </c>
    </row>
    <row r="200" spans="15:16" x14ac:dyDescent="0.35">
      <c r="O200">
        <v>199</v>
      </c>
      <c r="P200" s="10">
        <v>561593.78704475821</v>
      </c>
    </row>
    <row r="201" spans="15:16" x14ac:dyDescent="0.35">
      <c r="O201">
        <v>200</v>
      </c>
      <c r="P201" s="10">
        <v>555302.47737682378</v>
      </c>
    </row>
    <row r="202" spans="15:16" x14ac:dyDescent="0.35">
      <c r="O202">
        <v>201</v>
      </c>
      <c r="P202" s="10">
        <v>575726.57211390359</v>
      </c>
    </row>
    <row r="203" spans="15:16" x14ac:dyDescent="0.35">
      <c r="O203">
        <v>202</v>
      </c>
      <c r="P203" s="10">
        <v>561083.81895906408</v>
      </c>
    </row>
    <row r="204" spans="15:16" x14ac:dyDescent="0.35">
      <c r="O204">
        <v>203</v>
      </c>
      <c r="P204" s="10">
        <v>575082.17360386054</v>
      </c>
    </row>
    <row r="205" spans="15:16" x14ac:dyDescent="0.35">
      <c r="O205">
        <v>204</v>
      </c>
      <c r="P205" s="10">
        <v>544655.90633373219</v>
      </c>
    </row>
    <row r="206" spans="15:16" x14ac:dyDescent="0.35">
      <c r="O206">
        <v>205</v>
      </c>
      <c r="P206" s="10">
        <v>536756.86737183528</v>
      </c>
    </row>
    <row r="207" spans="15:16" x14ac:dyDescent="0.35">
      <c r="O207">
        <v>206</v>
      </c>
      <c r="P207" s="10">
        <v>558009.83942923765</v>
      </c>
    </row>
    <row r="208" spans="15:16" x14ac:dyDescent="0.35">
      <c r="O208">
        <v>207</v>
      </c>
      <c r="P208" s="10">
        <v>550091.46432413813</v>
      </c>
    </row>
    <row r="209" spans="15:16" x14ac:dyDescent="0.35">
      <c r="O209">
        <v>208</v>
      </c>
      <c r="P209" s="10">
        <v>540540.27057391894</v>
      </c>
    </row>
    <row r="210" spans="15:16" x14ac:dyDescent="0.35">
      <c r="O210">
        <v>209</v>
      </c>
      <c r="P210" s="10">
        <v>553501.89728757727</v>
      </c>
    </row>
    <row r="211" spans="15:16" x14ac:dyDescent="0.35">
      <c r="O211">
        <v>210</v>
      </c>
      <c r="P211" s="10">
        <v>538508.35377379041</v>
      </c>
    </row>
    <row r="212" spans="15:16" x14ac:dyDescent="0.35">
      <c r="O212">
        <v>211</v>
      </c>
      <c r="P212" s="10">
        <v>560561.75374403491</v>
      </c>
    </row>
    <row r="213" spans="15:16" x14ac:dyDescent="0.35">
      <c r="O213">
        <v>212</v>
      </c>
      <c r="P213" s="10">
        <v>564929.86244287249</v>
      </c>
    </row>
    <row r="214" spans="15:16" x14ac:dyDescent="0.35">
      <c r="O214">
        <v>213</v>
      </c>
      <c r="P214" s="10">
        <v>557898.42071816511</v>
      </c>
    </row>
    <row r="215" spans="15:16" x14ac:dyDescent="0.35">
      <c r="O215">
        <v>214</v>
      </c>
      <c r="P215" s="10">
        <v>542553.44007995073</v>
      </c>
    </row>
    <row r="216" spans="15:16" x14ac:dyDescent="0.35">
      <c r="O216">
        <v>215</v>
      </c>
      <c r="P216" s="10">
        <v>549334.8043305293</v>
      </c>
    </row>
    <row r="217" spans="15:16" x14ac:dyDescent="0.35">
      <c r="O217">
        <v>216</v>
      </c>
      <c r="P217" s="10">
        <v>552825.39958342782</v>
      </c>
    </row>
    <row r="218" spans="15:16" x14ac:dyDescent="0.35">
      <c r="O218">
        <v>217</v>
      </c>
      <c r="P218" s="10">
        <v>549412.52004454157</v>
      </c>
    </row>
    <row r="219" spans="15:16" x14ac:dyDescent="0.35">
      <c r="O219">
        <v>218</v>
      </c>
      <c r="P219" s="10">
        <v>572345.16098872211</v>
      </c>
    </row>
    <row r="220" spans="15:16" x14ac:dyDescent="0.35">
      <c r="O220">
        <v>219</v>
      </c>
      <c r="P220" s="10">
        <v>572899.51397367881</v>
      </c>
    </row>
    <row r="221" spans="15:16" x14ac:dyDescent="0.35">
      <c r="O221">
        <v>220</v>
      </c>
      <c r="P221" s="10">
        <v>538988.01817106036</v>
      </c>
    </row>
    <row r="222" spans="15:16" x14ac:dyDescent="0.35">
      <c r="O222">
        <v>221</v>
      </c>
      <c r="P222" s="10">
        <v>568826.74335945805</v>
      </c>
    </row>
    <row r="223" spans="15:16" x14ac:dyDescent="0.35">
      <c r="O223">
        <v>222</v>
      </c>
      <c r="P223" s="10">
        <v>561539.46942974417</v>
      </c>
    </row>
    <row r="224" spans="15:16" x14ac:dyDescent="0.35">
      <c r="O224">
        <v>223</v>
      </c>
      <c r="P224" s="10">
        <v>564538.63965771766</v>
      </c>
    </row>
    <row r="225" spans="15:16" x14ac:dyDescent="0.35">
      <c r="O225">
        <v>224</v>
      </c>
      <c r="P225" s="10">
        <v>569517.10461274604</v>
      </c>
    </row>
    <row r="226" spans="15:16" x14ac:dyDescent="0.35">
      <c r="O226">
        <v>225</v>
      </c>
      <c r="P226" s="10">
        <v>566091.3048494336</v>
      </c>
    </row>
    <row r="227" spans="15:16" x14ac:dyDescent="0.35">
      <c r="O227">
        <v>226</v>
      </c>
      <c r="P227" s="10">
        <v>567427.47353682318</v>
      </c>
    </row>
    <row r="228" spans="15:16" x14ac:dyDescent="0.35">
      <c r="O228">
        <v>227</v>
      </c>
      <c r="P228" s="10">
        <v>561665.37916509516</v>
      </c>
    </row>
    <row r="229" spans="15:16" x14ac:dyDescent="0.35">
      <c r="O229">
        <v>228</v>
      </c>
      <c r="P229" s="10">
        <v>573439.47728278162</v>
      </c>
    </row>
    <row r="230" spans="15:16" x14ac:dyDescent="0.35">
      <c r="O230">
        <v>229</v>
      </c>
      <c r="P230" s="10">
        <v>558040.87261626136</v>
      </c>
    </row>
    <row r="231" spans="15:16" x14ac:dyDescent="0.35">
      <c r="O231">
        <v>230</v>
      </c>
      <c r="P231" s="10">
        <v>571247.39686765044</v>
      </c>
    </row>
    <row r="232" spans="15:16" x14ac:dyDescent="0.35">
      <c r="O232">
        <v>231</v>
      </c>
      <c r="P232" s="10">
        <v>578552.71431960922</v>
      </c>
    </row>
    <row r="233" spans="15:16" x14ac:dyDescent="0.35">
      <c r="O233">
        <v>232</v>
      </c>
      <c r="P233" s="10">
        <v>547483.26873294811</v>
      </c>
    </row>
    <row r="234" spans="15:16" x14ac:dyDescent="0.35">
      <c r="O234">
        <v>233</v>
      </c>
      <c r="P234" s="10">
        <v>557752.51622884627</v>
      </c>
    </row>
    <row r="235" spans="15:16" x14ac:dyDescent="0.35">
      <c r="O235">
        <v>234</v>
      </c>
      <c r="P235" s="10">
        <v>561278.21461121435</v>
      </c>
    </row>
    <row r="236" spans="15:16" x14ac:dyDescent="0.35">
      <c r="O236">
        <v>235</v>
      </c>
      <c r="P236" s="10">
        <v>564453.79449701961</v>
      </c>
    </row>
    <row r="237" spans="15:16" x14ac:dyDescent="0.35">
      <c r="O237">
        <v>236</v>
      </c>
      <c r="P237" s="10">
        <v>567345.91619578225</v>
      </c>
    </row>
    <row r="238" spans="15:16" x14ac:dyDescent="0.35">
      <c r="O238">
        <v>237</v>
      </c>
      <c r="P238" s="10">
        <v>556842.59148810268</v>
      </c>
    </row>
    <row r="239" spans="15:16" x14ac:dyDescent="0.35">
      <c r="O239">
        <v>238</v>
      </c>
      <c r="P239" s="10">
        <v>550339.98158601555</v>
      </c>
    </row>
    <row r="240" spans="15:16" x14ac:dyDescent="0.35">
      <c r="O240">
        <v>239</v>
      </c>
      <c r="P240" s="10">
        <v>555189.92739169882</v>
      </c>
    </row>
    <row r="241" spans="15:16" x14ac:dyDescent="0.35">
      <c r="O241">
        <v>240</v>
      </c>
      <c r="P241" s="10">
        <v>566459.29685636575</v>
      </c>
    </row>
    <row r="242" spans="15:16" x14ac:dyDescent="0.35">
      <c r="O242">
        <v>241</v>
      </c>
      <c r="P242" s="10">
        <v>545364.74746997922</v>
      </c>
    </row>
    <row r="243" spans="15:16" x14ac:dyDescent="0.35">
      <c r="O243">
        <v>242</v>
      </c>
      <c r="P243" s="10">
        <v>574259.97761907382</v>
      </c>
    </row>
    <row r="244" spans="15:16" x14ac:dyDescent="0.35">
      <c r="O244">
        <v>243</v>
      </c>
      <c r="P244" s="10">
        <v>571699.2083686078</v>
      </c>
    </row>
    <row r="245" spans="15:16" x14ac:dyDescent="0.35">
      <c r="O245">
        <v>244</v>
      </c>
      <c r="P245" s="10">
        <v>567956.0594453176</v>
      </c>
    </row>
    <row r="246" spans="15:16" x14ac:dyDescent="0.35">
      <c r="O246">
        <v>245</v>
      </c>
      <c r="P246" s="10">
        <v>544084.68380306079</v>
      </c>
    </row>
    <row r="247" spans="15:16" x14ac:dyDescent="0.35">
      <c r="O247">
        <v>246</v>
      </c>
      <c r="P247" s="10">
        <v>571641.45973936142</v>
      </c>
    </row>
    <row r="248" spans="15:16" x14ac:dyDescent="0.35">
      <c r="O248">
        <v>247</v>
      </c>
      <c r="P248" s="10">
        <v>560458.11777512101</v>
      </c>
    </row>
    <row r="249" spans="15:16" x14ac:dyDescent="0.35">
      <c r="O249">
        <v>248</v>
      </c>
      <c r="P249" s="10">
        <v>555973.75866398739</v>
      </c>
    </row>
    <row r="250" spans="15:16" x14ac:dyDescent="0.35">
      <c r="O250">
        <v>249</v>
      </c>
      <c r="P250" s="10">
        <v>558231.78800425271</v>
      </c>
    </row>
    <row r="251" spans="15:16" x14ac:dyDescent="0.35">
      <c r="O251">
        <v>250</v>
      </c>
      <c r="P251" s="10">
        <v>523343.89954148477</v>
      </c>
    </row>
    <row r="252" spans="15:16" x14ac:dyDescent="0.35">
      <c r="O252">
        <v>251</v>
      </c>
      <c r="P252" s="10">
        <v>554250.7076150974</v>
      </c>
    </row>
    <row r="253" spans="15:16" x14ac:dyDescent="0.35">
      <c r="O253">
        <v>252</v>
      </c>
      <c r="P253" s="10">
        <v>541584.07497647032</v>
      </c>
    </row>
    <row r="254" spans="15:16" x14ac:dyDescent="0.35">
      <c r="O254">
        <v>253</v>
      </c>
      <c r="P254" s="10">
        <v>586630.08660247317</v>
      </c>
    </row>
    <row r="255" spans="15:16" x14ac:dyDescent="0.35">
      <c r="O255">
        <v>254</v>
      </c>
      <c r="P255" s="10">
        <v>557440.03470384772</v>
      </c>
    </row>
    <row r="256" spans="15:16" x14ac:dyDescent="0.35">
      <c r="O256">
        <v>255</v>
      </c>
      <c r="P256" s="10">
        <v>580340.43948804657</v>
      </c>
    </row>
    <row r="257" spans="15:16" x14ac:dyDescent="0.35">
      <c r="O257">
        <v>256</v>
      </c>
      <c r="P257" s="10">
        <v>553131.80673040973</v>
      </c>
    </row>
    <row r="258" spans="15:16" x14ac:dyDescent="0.35">
      <c r="O258">
        <v>257</v>
      </c>
      <c r="P258" s="10">
        <v>560918.42871984432</v>
      </c>
    </row>
    <row r="259" spans="15:16" x14ac:dyDescent="0.35">
      <c r="O259">
        <v>258</v>
      </c>
      <c r="P259" s="10">
        <v>562889.25403636089</v>
      </c>
    </row>
    <row r="260" spans="15:16" x14ac:dyDescent="0.35">
      <c r="O260">
        <v>259</v>
      </c>
      <c r="P260" s="10">
        <v>550660.34556471522</v>
      </c>
    </row>
    <row r="261" spans="15:16" x14ac:dyDescent="0.35">
      <c r="O261">
        <v>260</v>
      </c>
      <c r="P261" s="10">
        <v>570784.81266938196</v>
      </c>
    </row>
    <row r="262" spans="15:16" x14ac:dyDescent="0.35">
      <c r="O262">
        <v>261</v>
      </c>
      <c r="P262" s="10">
        <v>569644.18935571425</v>
      </c>
    </row>
    <row r="263" spans="15:16" x14ac:dyDescent="0.35">
      <c r="O263">
        <v>262</v>
      </c>
      <c r="P263" s="10">
        <v>548244.9603280453</v>
      </c>
    </row>
    <row r="264" spans="15:16" x14ac:dyDescent="0.35">
      <c r="O264">
        <v>263</v>
      </c>
      <c r="P264" s="10">
        <v>593413.19687476673</v>
      </c>
    </row>
    <row r="265" spans="15:16" x14ac:dyDescent="0.35">
      <c r="O265">
        <v>264</v>
      </c>
      <c r="P265" s="10">
        <v>579363.97025353217</v>
      </c>
    </row>
    <row r="266" spans="15:16" x14ac:dyDescent="0.35">
      <c r="O266">
        <v>265</v>
      </c>
      <c r="P266" s="10">
        <v>553098.16997474013</v>
      </c>
    </row>
    <row r="267" spans="15:16" x14ac:dyDescent="0.35">
      <c r="O267">
        <v>266</v>
      </c>
      <c r="P267" s="10">
        <v>551635.87715507555</v>
      </c>
    </row>
    <row r="268" spans="15:16" x14ac:dyDescent="0.35">
      <c r="O268">
        <v>267</v>
      </c>
      <c r="P268" s="10">
        <v>545883.40278057533</v>
      </c>
    </row>
    <row r="269" spans="15:16" x14ac:dyDescent="0.35">
      <c r="O269">
        <v>268</v>
      </c>
      <c r="P269" s="10">
        <v>572051.31773676595</v>
      </c>
    </row>
    <row r="270" spans="15:16" x14ac:dyDescent="0.35">
      <c r="O270">
        <v>269</v>
      </c>
      <c r="P270" s="10">
        <v>575967.62091653422</v>
      </c>
    </row>
    <row r="271" spans="15:16" x14ac:dyDescent="0.35">
      <c r="O271">
        <v>270</v>
      </c>
      <c r="P271" s="10">
        <v>579010.45421253808</v>
      </c>
    </row>
    <row r="272" spans="15:16" x14ac:dyDescent="0.35">
      <c r="O272">
        <v>271</v>
      </c>
      <c r="P272" s="10">
        <v>560282.22503085225</v>
      </c>
    </row>
    <row r="273" spans="15:16" x14ac:dyDescent="0.35">
      <c r="O273">
        <v>272</v>
      </c>
      <c r="P273" s="10">
        <v>552072.36632103904</v>
      </c>
    </row>
    <row r="274" spans="15:16" x14ac:dyDescent="0.35">
      <c r="O274">
        <v>273</v>
      </c>
      <c r="P274" s="10">
        <v>561331.38618735457</v>
      </c>
    </row>
    <row r="275" spans="15:16" x14ac:dyDescent="0.35">
      <c r="O275">
        <v>274</v>
      </c>
      <c r="P275" s="10">
        <v>541602.79102200177</v>
      </c>
    </row>
    <row r="276" spans="15:16" x14ac:dyDescent="0.35">
      <c r="O276">
        <v>275</v>
      </c>
      <c r="P276" s="10">
        <v>556412.7251687625</v>
      </c>
    </row>
    <row r="277" spans="15:16" x14ac:dyDescent="0.35">
      <c r="O277">
        <v>276</v>
      </c>
      <c r="P277" s="10">
        <v>569140.50875033194</v>
      </c>
    </row>
    <row r="278" spans="15:16" x14ac:dyDescent="0.35">
      <c r="O278">
        <v>277</v>
      </c>
      <c r="P278" s="10">
        <v>557520.33586324623</v>
      </c>
    </row>
    <row r="279" spans="15:16" x14ac:dyDescent="0.35">
      <c r="O279">
        <v>278</v>
      </c>
      <c r="P279" s="10">
        <v>569777.61564699595</v>
      </c>
    </row>
    <row r="280" spans="15:16" x14ac:dyDescent="0.35">
      <c r="O280">
        <v>279</v>
      </c>
      <c r="P280" s="10">
        <v>547156.39923149906</v>
      </c>
    </row>
    <row r="281" spans="15:16" x14ac:dyDescent="0.35">
      <c r="O281">
        <v>280</v>
      </c>
      <c r="P281" s="10">
        <v>566315.25425719621</v>
      </c>
    </row>
    <row r="282" spans="15:16" x14ac:dyDescent="0.35">
      <c r="O282">
        <v>281</v>
      </c>
      <c r="P282" s="10">
        <v>558052.79101412452</v>
      </c>
    </row>
    <row r="283" spans="15:16" x14ac:dyDescent="0.35">
      <c r="O283">
        <v>282</v>
      </c>
      <c r="P283" s="10">
        <v>553811.36997633346</v>
      </c>
    </row>
    <row r="284" spans="15:16" x14ac:dyDescent="0.35">
      <c r="O284">
        <v>283</v>
      </c>
      <c r="P284" s="10">
        <v>553217.65166363609</v>
      </c>
    </row>
    <row r="285" spans="15:16" x14ac:dyDescent="0.35">
      <c r="O285">
        <v>284</v>
      </c>
      <c r="P285" s="10">
        <v>548987.37321856781</v>
      </c>
    </row>
    <row r="286" spans="15:16" x14ac:dyDescent="0.35">
      <c r="O286">
        <v>285</v>
      </c>
      <c r="P286" s="10">
        <v>570250.59058335703</v>
      </c>
    </row>
    <row r="287" spans="15:16" x14ac:dyDescent="0.35">
      <c r="O287">
        <v>286</v>
      </c>
      <c r="P287" s="10">
        <v>551709.47491057834</v>
      </c>
    </row>
    <row r="288" spans="15:16" x14ac:dyDescent="0.35">
      <c r="O288">
        <v>287</v>
      </c>
      <c r="P288" s="10">
        <v>546588.84513728379</v>
      </c>
    </row>
    <row r="289" spans="15:16" x14ac:dyDescent="0.35">
      <c r="O289">
        <v>288</v>
      </c>
      <c r="P289" s="10">
        <v>574356.22722040385</v>
      </c>
    </row>
    <row r="290" spans="15:16" x14ac:dyDescent="0.35">
      <c r="O290">
        <v>289</v>
      </c>
      <c r="P290" s="10">
        <v>559452.69960625458</v>
      </c>
    </row>
    <row r="291" spans="15:16" x14ac:dyDescent="0.35">
      <c r="O291">
        <v>290</v>
      </c>
      <c r="P291" s="10">
        <v>563780.55844962376</v>
      </c>
    </row>
    <row r="292" spans="15:16" x14ac:dyDescent="0.35">
      <c r="O292">
        <v>291</v>
      </c>
      <c r="P292" s="10">
        <v>546765.28118727158</v>
      </c>
    </row>
    <row r="293" spans="15:16" x14ac:dyDescent="0.35">
      <c r="O293">
        <v>292</v>
      </c>
      <c r="P293" s="10">
        <v>565232.99445033853</v>
      </c>
    </row>
    <row r="294" spans="15:16" x14ac:dyDescent="0.35">
      <c r="O294">
        <v>293</v>
      </c>
      <c r="P294" s="10">
        <v>571486.53345141839</v>
      </c>
    </row>
    <row r="295" spans="15:16" x14ac:dyDescent="0.35">
      <c r="O295">
        <v>294</v>
      </c>
      <c r="P295" s="10">
        <v>576320.34910240094</v>
      </c>
    </row>
    <row r="296" spans="15:16" x14ac:dyDescent="0.35">
      <c r="O296">
        <v>295</v>
      </c>
      <c r="P296" s="10">
        <v>566681.29960682918</v>
      </c>
    </row>
    <row r="297" spans="15:16" x14ac:dyDescent="0.35">
      <c r="O297">
        <v>296</v>
      </c>
      <c r="P297" s="10">
        <v>559841.34931674751</v>
      </c>
    </row>
    <row r="298" spans="15:16" x14ac:dyDescent="0.35">
      <c r="O298">
        <v>297</v>
      </c>
      <c r="P298" s="10">
        <v>581227.81380049395</v>
      </c>
    </row>
    <row r="299" spans="15:16" x14ac:dyDescent="0.35">
      <c r="O299">
        <v>298</v>
      </c>
      <c r="P299" s="10">
        <v>539834.11836772715</v>
      </c>
    </row>
    <row r="300" spans="15:16" x14ac:dyDescent="0.35">
      <c r="O300">
        <v>299</v>
      </c>
      <c r="P300" s="10">
        <v>592140.32741073205</v>
      </c>
    </row>
    <row r="301" spans="15:16" x14ac:dyDescent="0.35">
      <c r="O301">
        <v>300</v>
      </c>
      <c r="P301" s="10">
        <v>570043.38248568377</v>
      </c>
    </row>
    <row r="302" spans="15:16" x14ac:dyDescent="0.35">
      <c r="O302">
        <v>301</v>
      </c>
      <c r="P302" s="10">
        <v>566280.55585518188</v>
      </c>
    </row>
    <row r="303" spans="15:16" x14ac:dyDescent="0.35">
      <c r="O303">
        <v>302</v>
      </c>
      <c r="P303" s="10">
        <v>528995.09610224969</v>
      </c>
    </row>
    <row r="304" spans="15:16" x14ac:dyDescent="0.35">
      <c r="O304">
        <v>303</v>
      </c>
      <c r="P304" s="10">
        <v>546281.98060785758</v>
      </c>
    </row>
    <row r="305" spans="15:16" x14ac:dyDescent="0.35">
      <c r="O305">
        <v>304</v>
      </c>
      <c r="P305" s="10">
        <v>536926.18741722987</v>
      </c>
    </row>
    <row r="306" spans="15:16" x14ac:dyDescent="0.35">
      <c r="O306">
        <v>305</v>
      </c>
      <c r="P306" s="10">
        <v>556098.90310427116</v>
      </c>
    </row>
    <row r="307" spans="15:16" x14ac:dyDescent="0.35">
      <c r="O307">
        <v>306</v>
      </c>
      <c r="P307" s="10">
        <v>545437.37706476357</v>
      </c>
    </row>
    <row r="308" spans="15:16" x14ac:dyDescent="0.35">
      <c r="O308">
        <v>307</v>
      </c>
      <c r="P308" s="10">
        <v>560139.32363873825</v>
      </c>
    </row>
    <row r="309" spans="15:16" x14ac:dyDescent="0.35">
      <c r="O309">
        <v>308</v>
      </c>
      <c r="P309" s="10">
        <v>534961.81891263661</v>
      </c>
    </row>
    <row r="310" spans="15:16" x14ac:dyDescent="0.35">
      <c r="O310">
        <v>309</v>
      </c>
      <c r="P310" s="10">
        <v>566760.31559077033</v>
      </c>
    </row>
    <row r="311" spans="15:16" x14ac:dyDescent="0.35">
      <c r="O311">
        <v>310</v>
      </c>
      <c r="P311" s="10">
        <v>554301.51495947631</v>
      </c>
    </row>
    <row r="312" spans="15:16" x14ac:dyDescent="0.35">
      <c r="O312">
        <v>311</v>
      </c>
      <c r="P312" s="10">
        <v>575235.18272851582</v>
      </c>
    </row>
    <row r="313" spans="15:16" x14ac:dyDescent="0.35">
      <c r="O313">
        <v>312</v>
      </c>
      <c r="P313" s="10">
        <v>547899.40917956876</v>
      </c>
    </row>
    <row r="314" spans="15:16" x14ac:dyDescent="0.35">
      <c r="O314">
        <v>313</v>
      </c>
      <c r="P314" s="10">
        <v>561628.39258124877</v>
      </c>
    </row>
    <row r="315" spans="15:16" x14ac:dyDescent="0.35">
      <c r="O315">
        <v>314</v>
      </c>
      <c r="P315" s="10">
        <v>553895.61310870294</v>
      </c>
    </row>
    <row r="316" spans="15:16" x14ac:dyDescent="0.35">
      <c r="O316">
        <v>315</v>
      </c>
      <c r="P316" s="10">
        <v>597045.44183931593</v>
      </c>
    </row>
    <row r="317" spans="15:16" x14ac:dyDescent="0.35">
      <c r="O317">
        <v>316</v>
      </c>
      <c r="P317" s="10">
        <v>546595.03445952153</v>
      </c>
    </row>
    <row r="318" spans="15:16" x14ac:dyDescent="0.35">
      <c r="O318">
        <v>317</v>
      </c>
      <c r="P318" s="10">
        <v>573576.41711054125</v>
      </c>
    </row>
    <row r="319" spans="15:16" x14ac:dyDescent="0.35">
      <c r="O319">
        <v>318</v>
      </c>
      <c r="P319" s="10">
        <v>574011.84110565227</v>
      </c>
    </row>
    <row r="320" spans="15:16" x14ac:dyDescent="0.35">
      <c r="O320">
        <v>319</v>
      </c>
      <c r="P320" s="10">
        <v>544166.0727570795</v>
      </c>
    </row>
    <row r="321" spans="15:16" x14ac:dyDescent="0.35">
      <c r="O321">
        <v>320</v>
      </c>
      <c r="P321" s="10">
        <v>540776.80014281231</v>
      </c>
    </row>
    <row r="322" spans="15:16" x14ac:dyDescent="0.35">
      <c r="O322">
        <v>321</v>
      </c>
      <c r="P322" s="10">
        <v>553303.87293450139</v>
      </c>
    </row>
    <row r="323" spans="15:16" x14ac:dyDescent="0.35">
      <c r="O323">
        <v>322</v>
      </c>
      <c r="P323" s="10">
        <v>542914.09513131867</v>
      </c>
    </row>
    <row r="324" spans="15:16" x14ac:dyDescent="0.35">
      <c r="O324">
        <v>323</v>
      </c>
      <c r="P324" s="10">
        <v>578518.1216900521</v>
      </c>
    </row>
    <row r="325" spans="15:16" x14ac:dyDescent="0.35">
      <c r="O325">
        <v>324</v>
      </c>
      <c r="P325" s="10">
        <v>550264.22267527541</v>
      </c>
    </row>
    <row r="326" spans="15:16" x14ac:dyDescent="0.35">
      <c r="O326">
        <v>325</v>
      </c>
      <c r="P326" s="10">
        <v>556502.87753569358</v>
      </c>
    </row>
    <row r="327" spans="15:16" x14ac:dyDescent="0.35">
      <c r="O327">
        <v>326</v>
      </c>
      <c r="P327" s="10">
        <v>557892.35580107046</v>
      </c>
    </row>
    <row r="328" spans="15:16" x14ac:dyDescent="0.35">
      <c r="O328">
        <v>327</v>
      </c>
      <c r="P328" s="10">
        <v>552504.9737165001</v>
      </c>
    </row>
    <row r="329" spans="15:16" x14ac:dyDescent="0.35">
      <c r="O329">
        <v>328</v>
      </c>
      <c r="P329" s="10">
        <v>576902.01403871854</v>
      </c>
    </row>
    <row r="330" spans="15:16" x14ac:dyDescent="0.35">
      <c r="O330">
        <v>329</v>
      </c>
      <c r="P330" s="10">
        <v>556330.25732511887</v>
      </c>
    </row>
    <row r="331" spans="15:16" x14ac:dyDescent="0.35">
      <c r="O331">
        <v>330</v>
      </c>
      <c r="P331" s="10">
        <v>577093.63854566659</v>
      </c>
    </row>
    <row r="332" spans="15:16" x14ac:dyDescent="0.35">
      <c r="O332">
        <v>331</v>
      </c>
      <c r="P332" s="10">
        <v>585120.84528000315</v>
      </c>
    </row>
    <row r="333" spans="15:16" x14ac:dyDescent="0.35">
      <c r="O333">
        <v>332</v>
      </c>
      <c r="P333" s="10">
        <v>559153.33922483446</v>
      </c>
    </row>
    <row r="334" spans="15:16" x14ac:dyDescent="0.35">
      <c r="O334">
        <v>333</v>
      </c>
      <c r="P334" s="10">
        <v>559627.90884183103</v>
      </c>
    </row>
    <row r="335" spans="15:16" x14ac:dyDescent="0.35">
      <c r="O335">
        <v>334</v>
      </c>
      <c r="P335" s="10">
        <v>553513.44915425498</v>
      </c>
    </row>
    <row r="336" spans="15:16" x14ac:dyDescent="0.35">
      <c r="O336">
        <v>335</v>
      </c>
      <c r="P336" s="10">
        <v>568781.15295057662</v>
      </c>
    </row>
    <row r="337" spans="15:16" x14ac:dyDescent="0.35">
      <c r="O337">
        <v>336</v>
      </c>
      <c r="P337" s="10">
        <v>565097.21176846139</v>
      </c>
    </row>
    <row r="338" spans="15:16" x14ac:dyDescent="0.35">
      <c r="O338">
        <v>337</v>
      </c>
      <c r="P338" s="10">
        <v>533605.09800644882</v>
      </c>
    </row>
    <row r="339" spans="15:16" x14ac:dyDescent="0.35">
      <c r="O339">
        <v>338</v>
      </c>
      <c r="P339" s="10">
        <v>555023.01303128956</v>
      </c>
    </row>
    <row r="340" spans="15:16" x14ac:dyDescent="0.35">
      <c r="O340">
        <v>339</v>
      </c>
      <c r="P340" s="10">
        <v>561837.25053058984</v>
      </c>
    </row>
    <row r="341" spans="15:16" x14ac:dyDescent="0.35">
      <c r="O341">
        <v>340</v>
      </c>
      <c r="P341" s="10">
        <v>574106.86205674638</v>
      </c>
    </row>
    <row r="342" spans="15:16" x14ac:dyDescent="0.35">
      <c r="O342">
        <v>341</v>
      </c>
      <c r="P342" s="10">
        <v>562823.51588601654</v>
      </c>
    </row>
    <row r="343" spans="15:16" x14ac:dyDescent="0.35">
      <c r="O343">
        <v>342</v>
      </c>
      <c r="P343" s="10">
        <v>569304.78839367675</v>
      </c>
    </row>
    <row r="344" spans="15:16" x14ac:dyDescent="0.35">
      <c r="O344">
        <v>343</v>
      </c>
      <c r="P344" s="10">
        <v>539043.96118201059</v>
      </c>
    </row>
    <row r="345" spans="15:16" x14ac:dyDescent="0.35">
      <c r="O345">
        <v>344</v>
      </c>
      <c r="P345" s="10">
        <v>555273.40322533145</v>
      </c>
    </row>
    <row r="346" spans="15:16" x14ac:dyDescent="0.35">
      <c r="O346">
        <v>345</v>
      </c>
      <c r="P346" s="10">
        <v>570581.86924162926</v>
      </c>
    </row>
    <row r="347" spans="15:16" x14ac:dyDescent="0.35">
      <c r="O347">
        <v>346</v>
      </c>
      <c r="P347" s="10">
        <v>561698.74778962042</v>
      </c>
    </row>
    <row r="348" spans="15:16" x14ac:dyDescent="0.35">
      <c r="O348">
        <v>347</v>
      </c>
      <c r="P348" s="10">
        <v>551961.10831384349</v>
      </c>
    </row>
    <row r="349" spans="15:16" x14ac:dyDescent="0.35">
      <c r="O349">
        <v>348</v>
      </c>
      <c r="P349" s="10">
        <v>559446.73242537025</v>
      </c>
    </row>
    <row r="350" spans="15:16" x14ac:dyDescent="0.35">
      <c r="O350">
        <v>349</v>
      </c>
      <c r="P350" s="10">
        <v>574476.61713357107</v>
      </c>
    </row>
    <row r="351" spans="15:16" x14ac:dyDescent="0.35">
      <c r="O351">
        <v>350</v>
      </c>
      <c r="P351" s="10">
        <v>572042.11662322935</v>
      </c>
    </row>
    <row r="352" spans="15:16" x14ac:dyDescent="0.35">
      <c r="O352">
        <v>351</v>
      </c>
      <c r="P352" s="10">
        <v>558457.79576130933</v>
      </c>
    </row>
    <row r="353" spans="15:16" x14ac:dyDescent="0.35">
      <c r="O353">
        <v>352</v>
      </c>
      <c r="P353" s="10">
        <v>575770.3008994672</v>
      </c>
    </row>
    <row r="354" spans="15:16" x14ac:dyDescent="0.35">
      <c r="O354">
        <v>353</v>
      </c>
      <c r="P354" s="10">
        <v>560122.49199679121</v>
      </c>
    </row>
    <row r="355" spans="15:16" x14ac:dyDescent="0.35">
      <c r="O355">
        <v>354</v>
      </c>
      <c r="P355" s="10">
        <v>554151.65212639747</v>
      </c>
    </row>
    <row r="356" spans="15:16" x14ac:dyDescent="0.35">
      <c r="O356">
        <v>355</v>
      </c>
      <c r="P356" s="10">
        <v>576527.61874656985</v>
      </c>
    </row>
    <row r="357" spans="15:16" x14ac:dyDescent="0.35">
      <c r="O357">
        <v>356</v>
      </c>
      <c r="P357" s="10">
        <v>577504.50903527264</v>
      </c>
    </row>
    <row r="358" spans="15:16" x14ac:dyDescent="0.35">
      <c r="O358">
        <v>357</v>
      </c>
      <c r="P358" s="10">
        <v>573669.44074622402</v>
      </c>
    </row>
    <row r="359" spans="15:16" x14ac:dyDescent="0.35">
      <c r="O359">
        <v>358</v>
      </c>
      <c r="P359" s="10">
        <v>566082.85842085117</v>
      </c>
    </row>
    <row r="360" spans="15:16" x14ac:dyDescent="0.35">
      <c r="O360">
        <v>359</v>
      </c>
      <c r="P360" s="10">
        <v>566737.9606604015</v>
      </c>
    </row>
    <row r="361" spans="15:16" x14ac:dyDescent="0.35">
      <c r="O361">
        <v>360</v>
      </c>
      <c r="P361" s="10">
        <v>573281.37479109538</v>
      </c>
    </row>
    <row r="362" spans="15:16" x14ac:dyDescent="0.35">
      <c r="O362">
        <v>361</v>
      </c>
      <c r="P362" s="10">
        <v>571551.53220217419</v>
      </c>
    </row>
    <row r="363" spans="15:16" x14ac:dyDescent="0.35">
      <c r="O363">
        <v>362</v>
      </c>
      <c r="P363" s="10">
        <v>559420.85178809089</v>
      </c>
    </row>
    <row r="364" spans="15:16" x14ac:dyDescent="0.35">
      <c r="O364">
        <v>363</v>
      </c>
      <c r="P364" s="10">
        <v>569195.8188806345</v>
      </c>
    </row>
    <row r="365" spans="15:16" x14ac:dyDescent="0.35">
      <c r="O365">
        <v>364</v>
      </c>
      <c r="P365" s="10">
        <v>544162.59447957191</v>
      </c>
    </row>
    <row r="366" spans="15:16" x14ac:dyDescent="0.35">
      <c r="O366">
        <v>365</v>
      </c>
      <c r="P366" s="10">
        <v>555816.04094213084</v>
      </c>
    </row>
    <row r="367" spans="15:16" x14ac:dyDescent="0.35">
      <c r="O367">
        <v>366</v>
      </c>
      <c r="P367" s="10">
        <v>568950.18336857855</v>
      </c>
    </row>
    <row r="368" spans="15:16" x14ac:dyDescent="0.35">
      <c r="O368">
        <v>367</v>
      </c>
      <c r="P368" s="10">
        <v>538392.42309882736</v>
      </c>
    </row>
    <row r="369" spans="15:16" x14ac:dyDescent="0.35">
      <c r="O369">
        <v>368</v>
      </c>
      <c r="P369" s="10">
        <v>551316.83065521461</v>
      </c>
    </row>
    <row r="370" spans="15:16" x14ac:dyDescent="0.35">
      <c r="O370">
        <v>369</v>
      </c>
      <c r="P370" s="10">
        <v>548907.1626946961</v>
      </c>
    </row>
    <row r="371" spans="15:16" x14ac:dyDescent="0.35">
      <c r="O371">
        <v>370</v>
      </c>
      <c r="P371" s="10">
        <v>581022.0264503326</v>
      </c>
    </row>
    <row r="372" spans="15:16" x14ac:dyDescent="0.35">
      <c r="O372">
        <v>371</v>
      </c>
      <c r="P372" s="10">
        <v>559896.87635009794</v>
      </c>
    </row>
    <row r="373" spans="15:16" x14ac:dyDescent="0.35">
      <c r="O373">
        <v>372</v>
      </c>
      <c r="P373" s="10">
        <v>583818.45493789797</v>
      </c>
    </row>
    <row r="374" spans="15:16" x14ac:dyDescent="0.35">
      <c r="O374">
        <v>373</v>
      </c>
      <c r="P374" s="10">
        <v>561349.09501324943</v>
      </c>
    </row>
    <row r="375" spans="15:16" x14ac:dyDescent="0.35">
      <c r="O375">
        <v>374</v>
      </c>
      <c r="P375" s="10">
        <v>585452.4618033095</v>
      </c>
    </row>
    <row r="376" spans="15:16" x14ac:dyDescent="0.35">
      <c r="O376">
        <v>375</v>
      </c>
      <c r="P376" s="10">
        <v>552669.02198769117</v>
      </c>
    </row>
    <row r="377" spans="15:16" x14ac:dyDescent="0.35">
      <c r="O377">
        <v>376</v>
      </c>
      <c r="P377" s="10">
        <v>558558.52803805354</v>
      </c>
    </row>
    <row r="378" spans="15:16" x14ac:dyDescent="0.35">
      <c r="O378">
        <v>377</v>
      </c>
      <c r="P378" s="10">
        <v>570796.46260786802</v>
      </c>
    </row>
    <row r="379" spans="15:16" x14ac:dyDescent="0.35">
      <c r="O379">
        <v>378</v>
      </c>
      <c r="P379" s="10">
        <v>572001.44097193237</v>
      </c>
    </row>
    <row r="380" spans="15:16" x14ac:dyDescent="0.35">
      <c r="O380">
        <v>379</v>
      </c>
      <c r="P380" s="10">
        <v>560011.2568801936</v>
      </c>
    </row>
    <row r="381" spans="15:16" x14ac:dyDescent="0.35">
      <c r="O381">
        <v>380</v>
      </c>
      <c r="P381" s="10">
        <v>548971.15937832021</v>
      </c>
    </row>
    <row r="382" spans="15:16" x14ac:dyDescent="0.35">
      <c r="O382">
        <v>381</v>
      </c>
      <c r="P382" s="10">
        <v>560671.01988227956</v>
      </c>
    </row>
    <row r="383" spans="15:16" x14ac:dyDescent="0.35">
      <c r="O383">
        <v>382</v>
      </c>
      <c r="P383" s="10">
        <v>556342.2988369813</v>
      </c>
    </row>
    <row r="384" spans="15:16" x14ac:dyDescent="0.35">
      <c r="O384">
        <v>383</v>
      </c>
      <c r="P384" s="10">
        <v>556693.36445236567</v>
      </c>
    </row>
    <row r="385" spans="15:16" x14ac:dyDescent="0.35">
      <c r="O385">
        <v>384</v>
      </c>
      <c r="P385" s="10">
        <v>574636.72605349612</v>
      </c>
    </row>
    <row r="386" spans="15:16" x14ac:dyDescent="0.35">
      <c r="O386">
        <v>385</v>
      </c>
      <c r="P386" s="10">
        <v>557659.20141006541</v>
      </c>
    </row>
    <row r="387" spans="15:16" x14ac:dyDescent="0.35">
      <c r="O387">
        <v>386</v>
      </c>
      <c r="P387" s="10">
        <v>572788.98844431387</v>
      </c>
    </row>
    <row r="388" spans="15:16" x14ac:dyDescent="0.35">
      <c r="O388">
        <v>387</v>
      </c>
      <c r="P388" s="10">
        <v>554051.71043632773</v>
      </c>
    </row>
    <row r="389" spans="15:16" x14ac:dyDescent="0.35">
      <c r="O389">
        <v>388</v>
      </c>
      <c r="P389" s="10">
        <v>545930.97841007623</v>
      </c>
    </row>
    <row r="390" spans="15:16" x14ac:dyDescent="0.35">
      <c r="O390">
        <v>389</v>
      </c>
      <c r="P390" s="10">
        <v>555022.56544999417</v>
      </c>
    </row>
    <row r="391" spans="15:16" x14ac:dyDescent="0.35">
      <c r="O391">
        <v>390</v>
      </c>
      <c r="P391" s="10">
        <v>552517.12066528632</v>
      </c>
    </row>
    <row r="392" spans="15:16" x14ac:dyDescent="0.35">
      <c r="O392">
        <v>391</v>
      </c>
      <c r="P392" s="10">
        <v>557201.82857628027</v>
      </c>
    </row>
    <row r="393" spans="15:16" x14ac:dyDescent="0.35">
      <c r="O393">
        <v>392</v>
      </c>
      <c r="P393" s="10">
        <v>553682.4943589269</v>
      </c>
    </row>
    <row r="394" spans="15:16" x14ac:dyDescent="0.35">
      <c r="O394">
        <v>393</v>
      </c>
      <c r="P394" s="10">
        <v>557963.43912366184</v>
      </c>
    </row>
    <row r="395" spans="15:16" x14ac:dyDescent="0.35">
      <c r="O395">
        <v>394</v>
      </c>
      <c r="P395" s="10">
        <v>564404.96366934245</v>
      </c>
    </row>
    <row r="396" spans="15:16" x14ac:dyDescent="0.35">
      <c r="O396">
        <v>395</v>
      </c>
      <c r="P396" s="10">
        <v>571547.88479991886</v>
      </c>
    </row>
    <row r="397" spans="15:16" x14ac:dyDescent="0.35">
      <c r="O397">
        <v>396</v>
      </c>
      <c r="P397" s="10">
        <v>571909.08698705107</v>
      </c>
    </row>
    <row r="398" spans="15:16" x14ac:dyDescent="0.35">
      <c r="O398">
        <v>397</v>
      </c>
      <c r="P398" s="10">
        <v>568432.66412096284</v>
      </c>
    </row>
    <row r="399" spans="15:16" x14ac:dyDescent="0.35">
      <c r="O399">
        <v>398</v>
      </c>
      <c r="P399" s="10">
        <v>549669.82962716161</v>
      </c>
    </row>
    <row r="400" spans="15:16" x14ac:dyDescent="0.35">
      <c r="O400">
        <v>399</v>
      </c>
      <c r="P400" s="10">
        <v>569294.80430729128</v>
      </c>
    </row>
    <row r="401" spans="15:16" x14ac:dyDescent="0.35">
      <c r="O401">
        <v>400</v>
      </c>
      <c r="P401" s="10">
        <v>548239.00103153579</v>
      </c>
    </row>
    <row r="402" spans="15:16" x14ac:dyDescent="0.35">
      <c r="O402">
        <v>401</v>
      </c>
      <c r="P402" s="10">
        <v>550950.90143142745</v>
      </c>
    </row>
    <row r="403" spans="15:16" x14ac:dyDescent="0.35">
      <c r="O403">
        <v>402</v>
      </c>
      <c r="P403" s="10">
        <v>542448.87028372416</v>
      </c>
    </row>
    <row r="404" spans="15:16" x14ac:dyDescent="0.35">
      <c r="O404">
        <v>403</v>
      </c>
      <c r="P404" s="10">
        <v>571291.85106192809</v>
      </c>
    </row>
    <row r="405" spans="15:16" x14ac:dyDescent="0.35">
      <c r="O405">
        <v>404</v>
      </c>
      <c r="P405" s="10">
        <v>563482.27397460979</v>
      </c>
    </row>
    <row r="406" spans="15:16" x14ac:dyDescent="0.35">
      <c r="O406">
        <v>405</v>
      </c>
      <c r="P406" s="10">
        <v>558403.82816795935</v>
      </c>
    </row>
    <row r="407" spans="15:16" x14ac:dyDescent="0.35">
      <c r="O407">
        <v>406</v>
      </c>
      <c r="P407" s="10">
        <v>548473.12836815184</v>
      </c>
    </row>
    <row r="408" spans="15:16" x14ac:dyDescent="0.35">
      <c r="O408">
        <v>407</v>
      </c>
      <c r="P408" s="10">
        <v>563401.69183027395</v>
      </c>
    </row>
    <row r="409" spans="15:16" x14ac:dyDescent="0.35">
      <c r="O409">
        <v>408</v>
      </c>
      <c r="P409" s="10">
        <v>564132.65746423812</v>
      </c>
    </row>
    <row r="410" spans="15:16" x14ac:dyDescent="0.35">
      <c r="O410">
        <v>409</v>
      </c>
      <c r="P410" s="10">
        <v>557825.19855291815</v>
      </c>
    </row>
    <row r="411" spans="15:16" x14ac:dyDescent="0.35">
      <c r="O411">
        <v>410</v>
      </c>
      <c r="P411" s="10">
        <v>544456.69260759873</v>
      </c>
    </row>
    <row r="412" spans="15:16" x14ac:dyDescent="0.35">
      <c r="O412">
        <v>411</v>
      </c>
      <c r="P412" s="10">
        <v>601613.57161332911</v>
      </c>
    </row>
    <row r="413" spans="15:16" x14ac:dyDescent="0.35">
      <c r="O413">
        <v>412</v>
      </c>
      <c r="P413" s="10">
        <v>570441.0948461782</v>
      </c>
    </row>
    <row r="414" spans="15:16" x14ac:dyDescent="0.35">
      <c r="O414">
        <v>413</v>
      </c>
      <c r="P414" s="10">
        <v>544428.07119013567</v>
      </c>
    </row>
    <row r="415" spans="15:16" x14ac:dyDescent="0.35">
      <c r="O415">
        <v>414</v>
      </c>
      <c r="P415" s="10">
        <v>565592.00660226727</v>
      </c>
    </row>
    <row r="416" spans="15:16" x14ac:dyDescent="0.35">
      <c r="O416">
        <v>415</v>
      </c>
      <c r="P416" s="10">
        <v>562351.35666929162</v>
      </c>
    </row>
    <row r="417" spans="15:16" x14ac:dyDescent="0.35">
      <c r="O417">
        <v>416</v>
      </c>
      <c r="P417" s="10">
        <v>579081.2484104929</v>
      </c>
    </row>
    <row r="418" spans="15:16" x14ac:dyDescent="0.35">
      <c r="O418">
        <v>417</v>
      </c>
      <c r="P418" s="10">
        <v>559586.96420080215</v>
      </c>
    </row>
    <row r="419" spans="15:16" x14ac:dyDescent="0.35">
      <c r="O419">
        <v>418</v>
      </c>
      <c r="P419" s="10">
        <v>574943.70987578586</v>
      </c>
    </row>
    <row r="420" spans="15:16" x14ac:dyDescent="0.35">
      <c r="O420">
        <v>419</v>
      </c>
      <c r="P420" s="10">
        <v>575341.49062147154</v>
      </c>
    </row>
    <row r="421" spans="15:16" x14ac:dyDescent="0.35">
      <c r="O421">
        <v>420</v>
      </c>
      <c r="P421" s="10">
        <v>555260.32320199162</v>
      </c>
    </row>
    <row r="422" spans="15:16" x14ac:dyDescent="0.35">
      <c r="O422">
        <v>421</v>
      </c>
      <c r="P422" s="10">
        <v>549514.4446694185</v>
      </c>
    </row>
    <row r="423" spans="15:16" x14ac:dyDescent="0.35">
      <c r="O423">
        <v>422</v>
      </c>
      <c r="P423" s="10">
        <v>550120.99972579326</v>
      </c>
    </row>
    <row r="424" spans="15:16" x14ac:dyDescent="0.35">
      <c r="O424">
        <v>423</v>
      </c>
      <c r="P424" s="10">
        <v>553971.39335405896</v>
      </c>
    </row>
    <row r="425" spans="15:16" x14ac:dyDescent="0.35">
      <c r="O425">
        <v>424</v>
      </c>
      <c r="P425" s="10">
        <v>555612.90038067137</v>
      </c>
    </row>
    <row r="426" spans="15:16" x14ac:dyDescent="0.35">
      <c r="O426">
        <v>425</v>
      </c>
      <c r="P426" s="10">
        <v>564420.26629792154</v>
      </c>
    </row>
    <row r="427" spans="15:16" x14ac:dyDescent="0.35">
      <c r="O427">
        <v>426</v>
      </c>
      <c r="P427" s="10">
        <v>565829.24347528222</v>
      </c>
    </row>
    <row r="428" spans="15:16" x14ac:dyDescent="0.35">
      <c r="O428">
        <v>427</v>
      </c>
      <c r="P428" s="10">
        <v>560392.28044507897</v>
      </c>
    </row>
    <row r="429" spans="15:16" x14ac:dyDescent="0.35">
      <c r="O429">
        <v>428</v>
      </c>
      <c r="P429" s="10">
        <v>574807.30831737851</v>
      </c>
    </row>
    <row r="430" spans="15:16" x14ac:dyDescent="0.35">
      <c r="O430">
        <v>429</v>
      </c>
      <c r="P430" s="10">
        <v>570164.91487378674</v>
      </c>
    </row>
    <row r="431" spans="15:16" x14ac:dyDescent="0.35">
      <c r="O431">
        <v>430</v>
      </c>
      <c r="P431" s="10">
        <v>556590.44065122702</v>
      </c>
    </row>
    <row r="432" spans="15:16" x14ac:dyDescent="0.35">
      <c r="O432">
        <v>431</v>
      </c>
      <c r="P432" s="10">
        <v>545813.48649234849</v>
      </c>
    </row>
    <row r="433" spans="15:16" x14ac:dyDescent="0.35">
      <c r="O433">
        <v>432</v>
      </c>
      <c r="P433" s="10">
        <v>569816.63480850332</v>
      </c>
    </row>
    <row r="434" spans="15:16" x14ac:dyDescent="0.35">
      <c r="O434">
        <v>433</v>
      </c>
      <c r="P434" s="10">
        <v>563158.07098355342</v>
      </c>
    </row>
    <row r="435" spans="15:16" x14ac:dyDescent="0.35">
      <c r="O435">
        <v>434</v>
      </c>
      <c r="P435" s="10">
        <v>550780.47902604367</v>
      </c>
    </row>
    <row r="436" spans="15:16" x14ac:dyDescent="0.35">
      <c r="O436">
        <v>435</v>
      </c>
      <c r="P436" s="10">
        <v>545282.59485675488</v>
      </c>
    </row>
    <row r="437" spans="15:16" x14ac:dyDescent="0.35">
      <c r="O437">
        <v>436</v>
      </c>
      <c r="P437" s="10">
        <v>553201.90392948769</v>
      </c>
    </row>
    <row r="438" spans="15:16" x14ac:dyDescent="0.35">
      <c r="O438">
        <v>437</v>
      </c>
      <c r="P438" s="10">
        <v>583339.47481312684</v>
      </c>
    </row>
    <row r="439" spans="15:16" x14ac:dyDescent="0.35">
      <c r="O439">
        <v>438</v>
      </c>
      <c r="P439" s="10">
        <v>545478.59148085921</v>
      </c>
    </row>
    <row r="440" spans="15:16" x14ac:dyDescent="0.35">
      <c r="O440">
        <v>439</v>
      </c>
      <c r="P440" s="10">
        <v>581824.20839817275</v>
      </c>
    </row>
    <row r="441" spans="15:16" x14ac:dyDescent="0.35">
      <c r="O441">
        <v>440</v>
      </c>
      <c r="P441" s="10">
        <v>583360.38427700102</v>
      </c>
    </row>
    <row r="442" spans="15:16" x14ac:dyDescent="0.35">
      <c r="O442">
        <v>441</v>
      </c>
      <c r="P442" s="10">
        <v>558872.36961892387</v>
      </c>
    </row>
    <row r="443" spans="15:16" x14ac:dyDescent="0.35">
      <c r="O443">
        <v>442</v>
      </c>
      <c r="P443" s="10">
        <v>567759.78472738841</v>
      </c>
    </row>
    <row r="444" spans="15:16" x14ac:dyDescent="0.35">
      <c r="O444">
        <v>443</v>
      </c>
      <c r="P444" s="10">
        <v>566431.28578552988</v>
      </c>
    </row>
    <row r="445" spans="15:16" x14ac:dyDescent="0.35">
      <c r="O445">
        <v>444</v>
      </c>
      <c r="P445" s="10">
        <v>561564.45940493012</v>
      </c>
    </row>
    <row r="446" spans="15:16" x14ac:dyDescent="0.35">
      <c r="O446">
        <v>445</v>
      </c>
      <c r="P446" s="10">
        <v>547905.24472931412</v>
      </c>
    </row>
    <row r="447" spans="15:16" x14ac:dyDescent="0.35">
      <c r="O447">
        <v>446</v>
      </c>
      <c r="P447" s="10">
        <v>552709.48166181915</v>
      </c>
    </row>
    <row r="448" spans="15:16" x14ac:dyDescent="0.35">
      <c r="O448">
        <v>447</v>
      </c>
      <c r="P448" s="10">
        <v>555498.25185031723</v>
      </c>
    </row>
    <row r="449" spans="15:16" x14ac:dyDescent="0.35">
      <c r="O449">
        <v>448</v>
      </c>
      <c r="P449" s="10">
        <v>553591.88138595864</v>
      </c>
    </row>
    <row r="450" spans="15:16" x14ac:dyDescent="0.35">
      <c r="O450">
        <v>449</v>
      </c>
      <c r="P450" s="10">
        <v>555808.93706662569</v>
      </c>
    </row>
    <row r="451" spans="15:16" x14ac:dyDescent="0.35">
      <c r="O451">
        <v>450</v>
      </c>
      <c r="P451" s="10">
        <v>551951.51609256503</v>
      </c>
    </row>
    <row r="452" spans="15:16" x14ac:dyDescent="0.35">
      <c r="O452">
        <v>451</v>
      </c>
      <c r="P452" s="10">
        <v>541071.16030368453</v>
      </c>
    </row>
    <row r="453" spans="15:16" x14ac:dyDescent="0.35">
      <c r="O453">
        <v>452</v>
      </c>
      <c r="P453" s="10">
        <v>551146.78259273188</v>
      </c>
    </row>
    <row r="454" spans="15:16" x14ac:dyDescent="0.35">
      <c r="O454">
        <v>453</v>
      </c>
      <c r="P454" s="10">
        <v>578250.86628300382</v>
      </c>
    </row>
    <row r="455" spans="15:16" x14ac:dyDescent="0.35">
      <c r="O455">
        <v>454</v>
      </c>
      <c r="P455" s="10">
        <v>555069.20805305871</v>
      </c>
    </row>
    <row r="456" spans="15:16" x14ac:dyDescent="0.35">
      <c r="O456">
        <v>455</v>
      </c>
      <c r="P456" s="10">
        <v>570442.69889949472</v>
      </c>
    </row>
    <row r="457" spans="15:16" x14ac:dyDescent="0.35">
      <c r="O457">
        <v>456</v>
      </c>
      <c r="P457" s="10">
        <v>545500.99942406267</v>
      </c>
    </row>
    <row r="458" spans="15:16" x14ac:dyDescent="0.35">
      <c r="O458">
        <v>457</v>
      </c>
      <c r="P458" s="10">
        <v>581732.11080047593</v>
      </c>
    </row>
    <row r="459" spans="15:16" x14ac:dyDescent="0.35">
      <c r="O459">
        <v>458</v>
      </c>
      <c r="P459" s="10">
        <v>563918.62402576499</v>
      </c>
    </row>
    <row r="460" spans="15:16" x14ac:dyDescent="0.35">
      <c r="O460">
        <v>459</v>
      </c>
      <c r="P460" s="10">
        <v>552388.67190616438</v>
      </c>
    </row>
    <row r="461" spans="15:16" x14ac:dyDescent="0.35">
      <c r="O461">
        <v>460</v>
      </c>
      <c r="P461" s="10">
        <v>576602.87434212689</v>
      </c>
    </row>
    <row r="462" spans="15:16" x14ac:dyDescent="0.35">
      <c r="O462">
        <v>461</v>
      </c>
      <c r="P462" s="10">
        <v>573103.91317517229</v>
      </c>
    </row>
    <row r="463" spans="15:16" x14ac:dyDescent="0.35">
      <c r="O463">
        <v>462</v>
      </c>
      <c r="P463" s="10">
        <v>546446.92384431395</v>
      </c>
    </row>
    <row r="464" spans="15:16" x14ac:dyDescent="0.35">
      <c r="O464">
        <v>463</v>
      </c>
      <c r="P464" s="10">
        <v>566960.71103964851</v>
      </c>
    </row>
    <row r="465" spans="15:16" x14ac:dyDescent="0.35">
      <c r="O465">
        <v>464</v>
      </c>
      <c r="P465" s="10">
        <v>574448.97191602655</v>
      </c>
    </row>
    <row r="466" spans="15:16" x14ac:dyDescent="0.35">
      <c r="O466">
        <v>465</v>
      </c>
      <c r="P466" s="10">
        <v>548466.02263149014</v>
      </c>
    </row>
    <row r="467" spans="15:16" x14ac:dyDescent="0.35">
      <c r="O467">
        <v>466</v>
      </c>
      <c r="P467" s="10">
        <v>550843.14282114932</v>
      </c>
    </row>
    <row r="468" spans="15:16" x14ac:dyDescent="0.35">
      <c r="O468">
        <v>467</v>
      </c>
      <c r="P468" s="10">
        <v>546670.39129161509</v>
      </c>
    </row>
    <row r="469" spans="15:16" x14ac:dyDescent="0.35">
      <c r="O469">
        <v>468</v>
      </c>
      <c r="P469" s="10">
        <v>561089.59774468583</v>
      </c>
    </row>
    <row r="470" spans="15:16" x14ac:dyDescent="0.35">
      <c r="O470">
        <v>469</v>
      </c>
      <c r="P470" s="10">
        <v>534722.55228748522</v>
      </c>
    </row>
    <row r="471" spans="15:16" x14ac:dyDescent="0.35">
      <c r="O471">
        <v>470</v>
      </c>
      <c r="P471" s="10">
        <v>575988.41196767066</v>
      </c>
    </row>
    <row r="472" spans="15:16" x14ac:dyDescent="0.35">
      <c r="O472">
        <v>471</v>
      </c>
      <c r="P472" s="10">
        <v>580558.3938174072</v>
      </c>
    </row>
    <row r="473" spans="15:16" x14ac:dyDescent="0.35">
      <c r="O473">
        <v>472</v>
      </c>
      <c r="P473" s="10">
        <v>550118.48430155008</v>
      </c>
    </row>
    <row r="474" spans="15:16" x14ac:dyDescent="0.35">
      <c r="O474">
        <v>473</v>
      </c>
      <c r="P474" s="10">
        <v>551208.13326271588</v>
      </c>
    </row>
    <row r="475" spans="15:16" x14ac:dyDescent="0.35">
      <c r="O475">
        <v>474</v>
      </c>
      <c r="P475" s="10">
        <v>568573.32796142146</v>
      </c>
    </row>
    <row r="476" spans="15:16" x14ac:dyDescent="0.35">
      <c r="O476">
        <v>475</v>
      </c>
      <c r="P476" s="10">
        <v>544268.32143254264</v>
      </c>
    </row>
    <row r="477" spans="15:16" x14ac:dyDescent="0.35">
      <c r="O477">
        <v>476</v>
      </c>
      <c r="P477" s="10">
        <v>560463.43933313212</v>
      </c>
    </row>
    <row r="478" spans="15:16" x14ac:dyDescent="0.35">
      <c r="O478">
        <v>477</v>
      </c>
      <c r="P478" s="10">
        <v>549519.94008656905</v>
      </c>
    </row>
    <row r="479" spans="15:16" x14ac:dyDescent="0.35">
      <c r="O479">
        <v>478</v>
      </c>
      <c r="P479" s="10">
        <v>549281.91608049185</v>
      </c>
    </row>
    <row r="480" spans="15:16" x14ac:dyDescent="0.35">
      <c r="O480">
        <v>479</v>
      </c>
      <c r="P480" s="10">
        <v>560965.82591371972</v>
      </c>
    </row>
    <row r="481" spans="15:16" x14ac:dyDescent="0.35">
      <c r="O481">
        <v>480</v>
      </c>
      <c r="P481" s="10">
        <v>548129.26972446498</v>
      </c>
    </row>
    <row r="482" spans="15:16" x14ac:dyDescent="0.35">
      <c r="O482">
        <v>481</v>
      </c>
      <c r="P482" s="10">
        <v>553757.50458188378</v>
      </c>
    </row>
    <row r="483" spans="15:16" x14ac:dyDescent="0.35">
      <c r="O483">
        <v>482</v>
      </c>
      <c r="P483" s="10">
        <v>568280.61075169523</v>
      </c>
    </row>
    <row r="484" spans="15:16" x14ac:dyDescent="0.35">
      <c r="O484">
        <v>483</v>
      </c>
      <c r="P484" s="10">
        <v>550184.05406916107</v>
      </c>
    </row>
    <row r="485" spans="15:16" x14ac:dyDescent="0.35">
      <c r="O485">
        <v>484</v>
      </c>
      <c r="P485" s="10">
        <v>569810.49038051825</v>
      </c>
    </row>
    <row r="486" spans="15:16" x14ac:dyDescent="0.35">
      <c r="O486">
        <v>485</v>
      </c>
      <c r="P486" s="10">
        <v>557931.44621492643</v>
      </c>
    </row>
    <row r="487" spans="15:16" x14ac:dyDescent="0.35">
      <c r="O487">
        <v>486</v>
      </c>
      <c r="P487" s="10">
        <v>551563.25437561527</v>
      </c>
    </row>
    <row r="488" spans="15:16" x14ac:dyDescent="0.35">
      <c r="O488">
        <v>487</v>
      </c>
      <c r="P488" s="10">
        <v>549339.46783778036</v>
      </c>
    </row>
    <row r="489" spans="15:16" x14ac:dyDescent="0.35">
      <c r="O489">
        <v>488</v>
      </c>
      <c r="P489" s="10">
        <v>578877.01574838255</v>
      </c>
    </row>
    <row r="490" spans="15:16" x14ac:dyDescent="0.35">
      <c r="O490">
        <v>489</v>
      </c>
      <c r="P490" s="10">
        <v>545086.56547815411</v>
      </c>
    </row>
    <row r="491" spans="15:16" x14ac:dyDescent="0.35">
      <c r="O491">
        <v>490</v>
      </c>
      <c r="P491" s="10">
        <v>534768.29443397489</v>
      </c>
    </row>
    <row r="492" spans="15:16" x14ac:dyDescent="0.35">
      <c r="O492">
        <v>491</v>
      </c>
      <c r="P492" s="10">
        <v>569967.78810103505</v>
      </c>
    </row>
    <row r="493" spans="15:16" x14ac:dyDescent="0.35">
      <c r="O493">
        <v>492</v>
      </c>
      <c r="P493" s="10">
        <v>561982.06184950168</v>
      </c>
    </row>
    <row r="494" spans="15:16" x14ac:dyDescent="0.35">
      <c r="O494">
        <v>493</v>
      </c>
      <c r="P494" s="10">
        <v>560651.0462064984</v>
      </c>
    </row>
    <row r="495" spans="15:16" x14ac:dyDescent="0.35">
      <c r="O495">
        <v>494</v>
      </c>
      <c r="P495" s="10">
        <v>558515.37749303575</v>
      </c>
    </row>
    <row r="496" spans="15:16" x14ac:dyDescent="0.35">
      <c r="O496">
        <v>495</v>
      </c>
      <c r="P496" s="10">
        <v>554227.04127981537</v>
      </c>
    </row>
    <row r="497" spans="15:16" x14ac:dyDescent="0.35">
      <c r="O497">
        <v>496</v>
      </c>
      <c r="P497" s="10">
        <v>555461.14999333594</v>
      </c>
    </row>
    <row r="498" spans="15:16" x14ac:dyDescent="0.35">
      <c r="O498">
        <v>497</v>
      </c>
      <c r="P498" s="10">
        <v>567710.31229267735</v>
      </c>
    </row>
    <row r="499" spans="15:16" x14ac:dyDescent="0.35">
      <c r="O499">
        <v>498</v>
      </c>
      <c r="P499" s="10">
        <v>575078.02202733979</v>
      </c>
    </row>
    <row r="500" spans="15:16" x14ac:dyDescent="0.35">
      <c r="O500">
        <v>499</v>
      </c>
      <c r="P500" s="10">
        <v>577454.85223790503</v>
      </c>
    </row>
    <row r="501" spans="15:16" x14ac:dyDescent="0.35">
      <c r="O501">
        <v>500</v>
      </c>
      <c r="P501" s="10">
        <v>543675.24003380304</v>
      </c>
    </row>
    <row r="502" spans="15:16" x14ac:dyDescent="0.35">
      <c r="O502">
        <v>501</v>
      </c>
      <c r="P502" s="10">
        <v>557917.82570403384</v>
      </c>
    </row>
    <row r="503" spans="15:16" x14ac:dyDescent="0.35">
      <c r="O503">
        <v>502</v>
      </c>
      <c r="P503" s="10">
        <v>535792.47977656219</v>
      </c>
    </row>
    <row r="504" spans="15:16" x14ac:dyDescent="0.35">
      <c r="O504">
        <v>503</v>
      </c>
      <c r="P504" s="10">
        <v>578861.98692068097</v>
      </c>
    </row>
    <row r="505" spans="15:16" x14ac:dyDescent="0.35">
      <c r="O505">
        <v>504</v>
      </c>
      <c r="P505" s="10">
        <v>558913.21090680512</v>
      </c>
    </row>
    <row r="506" spans="15:16" x14ac:dyDescent="0.35">
      <c r="O506">
        <v>505</v>
      </c>
      <c r="P506" s="10">
        <v>569688.05690125155</v>
      </c>
    </row>
    <row r="507" spans="15:16" x14ac:dyDescent="0.35">
      <c r="O507">
        <v>506</v>
      </c>
      <c r="P507" s="10">
        <v>568391.58592502237</v>
      </c>
    </row>
    <row r="508" spans="15:16" x14ac:dyDescent="0.35">
      <c r="O508">
        <v>507</v>
      </c>
      <c r="P508" s="10">
        <v>570252.7062779332</v>
      </c>
    </row>
    <row r="509" spans="15:16" x14ac:dyDescent="0.35">
      <c r="O509">
        <v>508</v>
      </c>
      <c r="P509" s="10">
        <v>572498.55799361086</v>
      </c>
    </row>
    <row r="510" spans="15:16" x14ac:dyDescent="0.35">
      <c r="O510">
        <v>509</v>
      </c>
      <c r="P510" s="10">
        <v>566902.65713231824</v>
      </c>
    </row>
    <row r="511" spans="15:16" x14ac:dyDescent="0.35">
      <c r="O511">
        <v>510</v>
      </c>
      <c r="P511" s="10">
        <v>561802.9756383698</v>
      </c>
    </row>
    <row r="512" spans="15:16" x14ac:dyDescent="0.35">
      <c r="O512">
        <v>511</v>
      </c>
      <c r="P512" s="10">
        <v>551194.08465879224</v>
      </c>
    </row>
    <row r="513" spans="15:16" x14ac:dyDescent="0.35">
      <c r="O513">
        <v>512</v>
      </c>
      <c r="P513" s="10">
        <v>563280.10116684635</v>
      </c>
    </row>
    <row r="514" spans="15:16" x14ac:dyDescent="0.35">
      <c r="O514">
        <v>513</v>
      </c>
      <c r="P514" s="10">
        <v>558016.01034851954</v>
      </c>
    </row>
    <row r="515" spans="15:16" x14ac:dyDescent="0.35">
      <c r="O515">
        <v>514</v>
      </c>
      <c r="P515" s="10">
        <v>564891.40987400373</v>
      </c>
    </row>
    <row r="516" spans="15:16" x14ac:dyDescent="0.35">
      <c r="O516">
        <v>515</v>
      </c>
      <c r="P516" s="10">
        <v>554430.22203783027</v>
      </c>
    </row>
    <row r="517" spans="15:16" x14ac:dyDescent="0.35">
      <c r="O517">
        <v>516</v>
      </c>
      <c r="P517" s="10">
        <v>562068.66817526158</v>
      </c>
    </row>
    <row r="518" spans="15:16" x14ac:dyDescent="0.35">
      <c r="O518">
        <v>517</v>
      </c>
      <c r="P518" s="10">
        <v>557704.56830517808</v>
      </c>
    </row>
    <row r="519" spans="15:16" x14ac:dyDescent="0.35">
      <c r="O519">
        <v>518</v>
      </c>
      <c r="P519" s="10">
        <v>586565.97746075375</v>
      </c>
    </row>
    <row r="520" spans="15:16" x14ac:dyDescent="0.35">
      <c r="O520">
        <v>519</v>
      </c>
      <c r="P520" s="10">
        <v>560688.26302805694</v>
      </c>
    </row>
    <row r="521" spans="15:16" x14ac:dyDescent="0.35">
      <c r="O521">
        <v>520</v>
      </c>
      <c r="P521" s="10">
        <v>560153.68511182873</v>
      </c>
    </row>
    <row r="522" spans="15:16" x14ac:dyDescent="0.35">
      <c r="O522">
        <v>521</v>
      </c>
      <c r="P522" s="10">
        <v>566381.76775830914</v>
      </c>
    </row>
    <row r="523" spans="15:16" x14ac:dyDescent="0.35">
      <c r="O523">
        <v>522</v>
      </c>
      <c r="P523" s="10">
        <v>565639.59498608368</v>
      </c>
    </row>
    <row r="524" spans="15:16" x14ac:dyDescent="0.35">
      <c r="O524">
        <v>523</v>
      </c>
      <c r="P524" s="10">
        <v>552974.00145154155</v>
      </c>
    </row>
    <row r="525" spans="15:16" x14ac:dyDescent="0.35">
      <c r="O525">
        <v>524</v>
      </c>
      <c r="P525" s="10">
        <v>584643.93386966886</v>
      </c>
    </row>
    <row r="526" spans="15:16" x14ac:dyDescent="0.35">
      <c r="O526">
        <v>525</v>
      </c>
      <c r="P526" s="10">
        <v>570065.29367053695</v>
      </c>
    </row>
    <row r="527" spans="15:16" x14ac:dyDescent="0.35">
      <c r="O527">
        <v>526</v>
      </c>
      <c r="P527" s="10">
        <v>569174.37829260062</v>
      </c>
    </row>
    <row r="528" spans="15:16" x14ac:dyDescent="0.35">
      <c r="O528">
        <v>527</v>
      </c>
      <c r="P528" s="10">
        <v>568379.60473580798</v>
      </c>
    </row>
    <row r="529" spans="15:16" x14ac:dyDescent="0.35">
      <c r="O529">
        <v>528</v>
      </c>
      <c r="P529" s="10">
        <v>551702.01403912972</v>
      </c>
    </row>
    <row r="530" spans="15:16" x14ac:dyDescent="0.35">
      <c r="O530">
        <v>529</v>
      </c>
      <c r="P530" s="10">
        <v>548342.92790630087</v>
      </c>
    </row>
    <row r="531" spans="15:16" x14ac:dyDescent="0.35">
      <c r="O531">
        <v>530</v>
      </c>
      <c r="P531" s="10">
        <v>568922.79539086425</v>
      </c>
    </row>
    <row r="532" spans="15:16" x14ac:dyDescent="0.35">
      <c r="O532">
        <v>531</v>
      </c>
      <c r="P532" s="10">
        <v>556536.76190647448</v>
      </c>
    </row>
    <row r="533" spans="15:16" x14ac:dyDescent="0.35">
      <c r="O533">
        <v>532</v>
      </c>
      <c r="P533" s="10">
        <v>547104.77497862442</v>
      </c>
    </row>
    <row r="534" spans="15:16" x14ac:dyDescent="0.35">
      <c r="O534">
        <v>533</v>
      </c>
      <c r="P534" s="10">
        <v>575819.62115441577</v>
      </c>
    </row>
    <row r="535" spans="15:16" x14ac:dyDescent="0.35">
      <c r="O535">
        <v>534</v>
      </c>
      <c r="P535" s="10">
        <v>564882.03884212603</v>
      </c>
    </row>
    <row r="536" spans="15:16" x14ac:dyDescent="0.35">
      <c r="O536">
        <v>535</v>
      </c>
      <c r="P536" s="10">
        <v>560386.54032024462</v>
      </c>
    </row>
    <row r="537" spans="15:16" x14ac:dyDescent="0.35">
      <c r="O537">
        <v>536</v>
      </c>
      <c r="P537" s="10">
        <v>541952.46733109246</v>
      </c>
    </row>
    <row r="538" spans="15:16" x14ac:dyDescent="0.35">
      <c r="O538">
        <v>537</v>
      </c>
      <c r="P538" s="10">
        <v>566236.08906981</v>
      </c>
    </row>
    <row r="539" spans="15:16" x14ac:dyDescent="0.35">
      <c r="O539">
        <v>538</v>
      </c>
      <c r="P539" s="10">
        <v>548331.37376452121</v>
      </c>
    </row>
    <row r="540" spans="15:16" x14ac:dyDescent="0.35">
      <c r="O540">
        <v>539</v>
      </c>
      <c r="P540" s="10">
        <v>597375.68606529676</v>
      </c>
    </row>
    <row r="541" spans="15:16" x14ac:dyDescent="0.35">
      <c r="O541">
        <v>540</v>
      </c>
      <c r="P541" s="10">
        <v>576401.26036125084</v>
      </c>
    </row>
    <row r="542" spans="15:16" x14ac:dyDescent="0.35">
      <c r="O542">
        <v>541</v>
      </c>
      <c r="P542" s="10">
        <v>548710.53191306069</v>
      </c>
    </row>
    <row r="543" spans="15:16" x14ac:dyDescent="0.35">
      <c r="O543">
        <v>542</v>
      </c>
      <c r="P543" s="10">
        <v>582333.4037714029</v>
      </c>
    </row>
    <row r="544" spans="15:16" x14ac:dyDescent="0.35">
      <c r="O544">
        <v>543</v>
      </c>
      <c r="P544" s="10">
        <v>549292.80556893442</v>
      </c>
    </row>
    <row r="545" spans="15:16" x14ac:dyDescent="0.35">
      <c r="O545">
        <v>544</v>
      </c>
      <c r="P545" s="10">
        <v>566081.98224387981</v>
      </c>
    </row>
    <row r="546" spans="15:16" x14ac:dyDescent="0.35">
      <c r="O546">
        <v>545</v>
      </c>
      <c r="P546" s="10">
        <v>562692.43788093433</v>
      </c>
    </row>
    <row r="547" spans="15:16" x14ac:dyDescent="0.35">
      <c r="O547">
        <v>546</v>
      </c>
      <c r="P547" s="10">
        <v>573365.73714089359</v>
      </c>
    </row>
    <row r="548" spans="15:16" x14ac:dyDescent="0.35">
      <c r="O548">
        <v>547</v>
      </c>
      <c r="P548" s="10">
        <v>555193.64202055521</v>
      </c>
    </row>
    <row r="549" spans="15:16" x14ac:dyDescent="0.35">
      <c r="O549">
        <v>548</v>
      </c>
      <c r="P549" s="10">
        <v>568044.43766253639</v>
      </c>
    </row>
    <row r="550" spans="15:16" x14ac:dyDescent="0.35">
      <c r="O550">
        <v>549</v>
      </c>
      <c r="P550" s="10">
        <v>560449.39050755429</v>
      </c>
    </row>
    <row r="551" spans="15:16" x14ac:dyDescent="0.35">
      <c r="O551">
        <v>550</v>
      </c>
      <c r="P551" s="10">
        <v>560773.93950689724</v>
      </c>
    </row>
    <row r="552" spans="15:16" x14ac:dyDescent="0.35">
      <c r="O552">
        <v>551</v>
      </c>
      <c r="P552" s="10">
        <v>573503.9754698535</v>
      </c>
    </row>
    <row r="553" spans="15:16" x14ac:dyDescent="0.35">
      <c r="O553">
        <v>552</v>
      </c>
      <c r="P553" s="10">
        <v>559278.86545455828</v>
      </c>
    </row>
    <row r="554" spans="15:16" x14ac:dyDescent="0.35">
      <c r="O554">
        <v>553</v>
      </c>
      <c r="P554" s="10">
        <v>565229.59435050131</v>
      </c>
    </row>
    <row r="555" spans="15:16" x14ac:dyDescent="0.35">
      <c r="O555">
        <v>554</v>
      </c>
      <c r="P555" s="10">
        <v>552336.50281374599</v>
      </c>
    </row>
    <row r="556" spans="15:16" x14ac:dyDescent="0.35">
      <c r="O556">
        <v>555</v>
      </c>
      <c r="P556" s="10">
        <v>560688.6931909282</v>
      </c>
    </row>
    <row r="557" spans="15:16" x14ac:dyDescent="0.35">
      <c r="O557">
        <v>556</v>
      </c>
      <c r="P557" s="10">
        <v>543793.56990408059</v>
      </c>
    </row>
    <row r="558" spans="15:16" x14ac:dyDescent="0.35">
      <c r="O558">
        <v>557</v>
      </c>
      <c r="P558" s="10">
        <v>571887.80012887251</v>
      </c>
    </row>
    <row r="559" spans="15:16" x14ac:dyDescent="0.35">
      <c r="O559">
        <v>558</v>
      </c>
      <c r="P559" s="10">
        <v>585574.12061433727</v>
      </c>
    </row>
    <row r="560" spans="15:16" x14ac:dyDescent="0.35">
      <c r="O560">
        <v>559</v>
      </c>
      <c r="P560" s="10">
        <v>542473.74164127628</v>
      </c>
    </row>
    <row r="561" spans="15:16" x14ac:dyDescent="0.35">
      <c r="O561">
        <v>560</v>
      </c>
      <c r="P561" s="10">
        <v>552037.97241968825</v>
      </c>
    </row>
    <row r="562" spans="15:16" x14ac:dyDescent="0.35">
      <c r="O562">
        <v>561</v>
      </c>
      <c r="P562" s="10">
        <v>561215.07267088094</v>
      </c>
    </row>
    <row r="563" spans="15:16" x14ac:dyDescent="0.35">
      <c r="O563">
        <v>562</v>
      </c>
      <c r="P563" s="10">
        <v>570572.78355641814</v>
      </c>
    </row>
    <row r="564" spans="15:16" x14ac:dyDescent="0.35">
      <c r="O564">
        <v>563</v>
      </c>
      <c r="P564" s="10">
        <v>545002.48464588181</v>
      </c>
    </row>
    <row r="565" spans="15:16" x14ac:dyDescent="0.35">
      <c r="O565">
        <v>564</v>
      </c>
      <c r="P565" s="10">
        <v>546796.20709230821</v>
      </c>
    </row>
    <row r="566" spans="15:16" x14ac:dyDescent="0.35">
      <c r="O566">
        <v>565</v>
      </c>
      <c r="P566" s="10">
        <v>570824.77092988743</v>
      </c>
    </row>
    <row r="567" spans="15:16" x14ac:dyDescent="0.35">
      <c r="O567">
        <v>566</v>
      </c>
      <c r="P567" s="10">
        <v>566323.78502801224</v>
      </c>
    </row>
    <row r="568" spans="15:16" x14ac:dyDescent="0.35">
      <c r="O568">
        <v>567</v>
      </c>
      <c r="P568" s="10">
        <v>541370.95878061175</v>
      </c>
    </row>
    <row r="569" spans="15:16" x14ac:dyDescent="0.35">
      <c r="O569">
        <v>568</v>
      </c>
      <c r="P569" s="10">
        <v>573531.14989354543</v>
      </c>
    </row>
    <row r="570" spans="15:16" x14ac:dyDescent="0.35">
      <c r="O570">
        <v>569</v>
      </c>
      <c r="P570" s="10">
        <v>545382.34727738134</v>
      </c>
    </row>
    <row r="571" spans="15:16" x14ac:dyDescent="0.35">
      <c r="O571">
        <v>570</v>
      </c>
      <c r="P571" s="10">
        <v>575405.91239503049</v>
      </c>
    </row>
    <row r="572" spans="15:16" x14ac:dyDescent="0.35">
      <c r="O572">
        <v>571</v>
      </c>
      <c r="P572" s="10">
        <v>551061.29781206732</v>
      </c>
    </row>
    <row r="573" spans="15:16" x14ac:dyDescent="0.35">
      <c r="O573">
        <v>572</v>
      </c>
      <c r="P573" s="10">
        <v>548359.18130161683</v>
      </c>
    </row>
    <row r="574" spans="15:16" x14ac:dyDescent="0.35">
      <c r="O574">
        <v>573</v>
      </c>
      <c r="P574" s="10">
        <v>569883.86787623528</v>
      </c>
    </row>
    <row r="575" spans="15:16" x14ac:dyDescent="0.35">
      <c r="O575">
        <v>574</v>
      </c>
      <c r="P575" s="10">
        <v>576054.80027499143</v>
      </c>
    </row>
    <row r="576" spans="15:16" x14ac:dyDescent="0.35">
      <c r="O576">
        <v>575</v>
      </c>
      <c r="P576" s="10">
        <v>558817.15480180422</v>
      </c>
    </row>
    <row r="577" spans="15:16" x14ac:dyDescent="0.35">
      <c r="O577">
        <v>576</v>
      </c>
      <c r="P577" s="10">
        <v>580448.51805982657</v>
      </c>
    </row>
    <row r="578" spans="15:16" x14ac:dyDescent="0.35">
      <c r="O578">
        <v>577</v>
      </c>
      <c r="P578" s="10">
        <v>563201.03031896183</v>
      </c>
    </row>
    <row r="579" spans="15:16" x14ac:dyDescent="0.35">
      <c r="O579">
        <v>578</v>
      </c>
      <c r="P579" s="10">
        <v>553299.01248550136</v>
      </c>
    </row>
    <row r="580" spans="15:16" x14ac:dyDescent="0.35">
      <c r="O580">
        <v>579</v>
      </c>
      <c r="P580" s="10">
        <v>554212.97672499751</v>
      </c>
    </row>
    <row r="581" spans="15:16" x14ac:dyDescent="0.35">
      <c r="O581">
        <v>580</v>
      </c>
      <c r="P581" s="10">
        <v>574502.6608674085</v>
      </c>
    </row>
    <row r="582" spans="15:16" x14ac:dyDescent="0.35">
      <c r="O582">
        <v>581</v>
      </c>
      <c r="P582" s="10">
        <v>560557.22796543152</v>
      </c>
    </row>
    <row r="583" spans="15:16" x14ac:dyDescent="0.35">
      <c r="O583">
        <v>582</v>
      </c>
      <c r="P583" s="10">
        <v>566132.3830397249</v>
      </c>
    </row>
    <row r="584" spans="15:16" x14ac:dyDescent="0.35">
      <c r="O584">
        <v>583</v>
      </c>
      <c r="P584" s="10">
        <v>573485.57547614805</v>
      </c>
    </row>
    <row r="585" spans="15:16" x14ac:dyDescent="0.35">
      <c r="O585">
        <v>584</v>
      </c>
      <c r="P585" s="10">
        <v>552458.34662421385</v>
      </c>
    </row>
    <row r="586" spans="15:16" x14ac:dyDescent="0.35">
      <c r="O586">
        <v>585</v>
      </c>
      <c r="P586" s="10">
        <v>544669.73093999305</v>
      </c>
    </row>
    <row r="587" spans="15:16" x14ac:dyDescent="0.35">
      <c r="O587">
        <v>586</v>
      </c>
      <c r="P587" s="10">
        <v>563974.82115945872</v>
      </c>
    </row>
    <row r="588" spans="15:16" x14ac:dyDescent="0.35">
      <c r="O588">
        <v>587</v>
      </c>
      <c r="P588" s="10">
        <v>554674.59555841971</v>
      </c>
    </row>
    <row r="589" spans="15:16" x14ac:dyDescent="0.35">
      <c r="O589">
        <v>588</v>
      </c>
      <c r="P589" s="10">
        <v>559022.56120443356</v>
      </c>
    </row>
    <row r="590" spans="15:16" x14ac:dyDescent="0.35">
      <c r="O590">
        <v>589</v>
      </c>
      <c r="P590" s="10">
        <v>541508.13776512351</v>
      </c>
    </row>
    <row r="591" spans="15:16" x14ac:dyDescent="0.35">
      <c r="O591">
        <v>590</v>
      </c>
      <c r="P591" s="10">
        <v>584332.59847169567</v>
      </c>
    </row>
    <row r="592" spans="15:16" x14ac:dyDescent="0.35">
      <c r="O592">
        <v>591</v>
      </c>
      <c r="P592" s="10">
        <v>574919.28345702589</v>
      </c>
    </row>
    <row r="593" spans="15:16" x14ac:dyDescent="0.35">
      <c r="O593">
        <v>592</v>
      </c>
      <c r="P593" s="10">
        <v>565659.64073062467</v>
      </c>
    </row>
    <row r="594" spans="15:16" x14ac:dyDescent="0.35">
      <c r="O594">
        <v>593</v>
      </c>
      <c r="P594" s="10">
        <v>557272.19876948406</v>
      </c>
    </row>
    <row r="595" spans="15:16" x14ac:dyDescent="0.35">
      <c r="O595">
        <v>594</v>
      </c>
      <c r="P595" s="10">
        <v>548270.25499205419</v>
      </c>
    </row>
    <row r="596" spans="15:16" x14ac:dyDescent="0.35">
      <c r="O596">
        <v>595</v>
      </c>
      <c r="P596" s="10">
        <v>563010.89228231413</v>
      </c>
    </row>
    <row r="597" spans="15:16" x14ac:dyDescent="0.35">
      <c r="O597">
        <v>596</v>
      </c>
      <c r="P597" s="10">
        <v>561520.75789270061</v>
      </c>
    </row>
    <row r="598" spans="15:16" x14ac:dyDescent="0.35">
      <c r="O598">
        <v>597</v>
      </c>
      <c r="P598" s="10">
        <v>565687.91496992391</v>
      </c>
    </row>
    <row r="599" spans="15:16" x14ac:dyDescent="0.35">
      <c r="O599">
        <v>598</v>
      </c>
      <c r="P599" s="10">
        <v>564737.55115128728</v>
      </c>
    </row>
    <row r="600" spans="15:16" x14ac:dyDescent="0.35">
      <c r="O600">
        <v>599</v>
      </c>
      <c r="P600" s="10">
        <v>573398.26528548927</v>
      </c>
    </row>
    <row r="601" spans="15:16" x14ac:dyDescent="0.35">
      <c r="O601">
        <v>600</v>
      </c>
      <c r="P601" s="10">
        <v>572377.68606537872</v>
      </c>
    </row>
    <row r="602" spans="15:16" x14ac:dyDescent="0.35">
      <c r="O602">
        <v>601</v>
      </c>
      <c r="P602" s="10">
        <v>541236.45808617922</v>
      </c>
    </row>
    <row r="603" spans="15:16" x14ac:dyDescent="0.35">
      <c r="O603">
        <v>602</v>
      </c>
      <c r="P603" s="10">
        <v>547282.60609295196</v>
      </c>
    </row>
    <row r="604" spans="15:16" x14ac:dyDescent="0.35">
      <c r="O604">
        <v>603</v>
      </c>
      <c r="P604" s="10">
        <v>554475.40255920286</v>
      </c>
    </row>
    <row r="605" spans="15:16" x14ac:dyDescent="0.35">
      <c r="O605">
        <v>604</v>
      </c>
      <c r="P605" s="10">
        <v>576194.45644463983</v>
      </c>
    </row>
    <row r="606" spans="15:16" x14ac:dyDescent="0.35">
      <c r="O606">
        <v>605</v>
      </c>
      <c r="P606" s="10">
        <v>554067.37443094654</v>
      </c>
    </row>
    <row r="607" spans="15:16" x14ac:dyDescent="0.35">
      <c r="O607">
        <v>606</v>
      </c>
      <c r="P607" s="10">
        <v>556175.71747036371</v>
      </c>
    </row>
    <row r="608" spans="15:16" x14ac:dyDescent="0.35">
      <c r="O608">
        <v>607</v>
      </c>
      <c r="P608" s="10">
        <v>576296.70574624382</v>
      </c>
    </row>
    <row r="609" spans="15:16" x14ac:dyDescent="0.35">
      <c r="O609">
        <v>608</v>
      </c>
      <c r="P609" s="10">
        <v>575933.12781722681</v>
      </c>
    </row>
    <row r="610" spans="15:16" x14ac:dyDescent="0.35">
      <c r="O610">
        <v>609</v>
      </c>
      <c r="P610" s="10">
        <v>576590.15438810235</v>
      </c>
    </row>
    <row r="611" spans="15:16" x14ac:dyDescent="0.35">
      <c r="O611">
        <v>610</v>
      </c>
      <c r="P611" s="10">
        <v>561943.10618863301</v>
      </c>
    </row>
    <row r="612" spans="15:16" x14ac:dyDescent="0.35">
      <c r="O612">
        <v>611</v>
      </c>
      <c r="P612" s="10">
        <v>553028.12928430387</v>
      </c>
    </row>
    <row r="613" spans="15:16" x14ac:dyDescent="0.35">
      <c r="O613">
        <v>612</v>
      </c>
      <c r="P613" s="10">
        <v>547984.80085463484</v>
      </c>
    </row>
    <row r="614" spans="15:16" x14ac:dyDescent="0.35">
      <c r="O614">
        <v>613</v>
      </c>
      <c r="P614" s="10">
        <v>563164.17862825235</v>
      </c>
    </row>
    <row r="615" spans="15:16" x14ac:dyDescent="0.35">
      <c r="O615">
        <v>614</v>
      </c>
      <c r="P615" s="10">
        <v>534920.85368581908</v>
      </c>
    </row>
    <row r="616" spans="15:16" x14ac:dyDescent="0.35">
      <c r="O616">
        <v>615</v>
      </c>
      <c r="P616" s="10">
        <v>559395.30048399791</v>
      </c>
    </row>
    <row r="617" spans="15:16" x14ac:dyDescent="0.35">
      <c r="O617">
        <v>616</v>
      </c>
      <c r="P617" s="10">
        <v>564224.0174804636</v>
      </c>
    </row>
    <row r="618" spans="15:16" x14ac:dyDescent="0.35">
      <c r="O618">
        <v>617</v>
      </c>
      <c r="P618" s="10">
        <v>537002.10600766318</v>
      </c>
    </row>
    <row r="619" spans="15:16" x14ac:dyDescent="0.35">
      <c r="O619">
        <v>618</v>
      </c>
      <c r="P619" s="10">
        <v>559653.52290375298</v>
      </c>
    </row>
    <row r="620" spans="15:16" x14ac:dyDescent="0.35">
      <c r="O620">
        <v>619</v>
      </c>
      <c r="P620" s="10">
        <v>561570.00752234086</v>
      </c>
    </row>
    <row r="621" spans="15:16" x14ac:dyDescent="0.35">
      <c r="O621">
        <v>620</v>
      </c>
      <c r="P621" s="10">
        <v>551451.43686234369</v>
      </c>
    </row>
    <row r="622" spans="15:16" x14ac:dyDescent="0.35">
      <c r="O622">
        <v>621</v>
      </c>
      <c r="P622" s="10">
        <v>564106.86983031442</v>
      </c>
    </row>
    <row r="623" spans="15:16" x14ac:dyDescent="0.35">
      <c r="O623">
        <v>622</v>
      </c>
      <c r="P623" s="10">
        <v>545735.49895695492</v>
      </c>
    </row>
    <row r="624" spans="15:16" x14ac:dyDescent="0.35">
      <c r="O624">
        <v>623</v>
      </c>
      <c r="P624" s="10">
        <v>576299.61513750593</v>
      </c>
    </row>
    <row r="625" spans="15:16" x14ac:dyDescent="0.35">
      <c r="O625">
        <v>624</v>
      </c>
      <c r="P625" s="10">
        <v>562751.2702729723</v>
      </c>
    </row>
    <row r="626" spans="15:16" x14ac:dyDescent="0.35">
      <c r="O626">
        <v>625</v>
      </c>
      <c r="P626" s="10">
        <v>560941.52388686361</v>
      </c>
    </row>
    <row r="627" spans="15:16" x14ac:dyDescent="0.35">
      <c r="O627">
        <v>626</v>
      </c>
      <c r="P627" s="10">
        <v>549263.15147539927</v>
      </c>
    </row>
    <row r="628" spans="15:16" x14ac:dyDescent="0.35">
      <c r="O628">
        <v>627</v>
      </c>
      <c r="P628" s="10">
        <v>555857.07607298263</v>
      </c>
    </row>
    <row r="629" spans="15:16" x14ac:dyDescent="0.35">
      <c r="O629">
        <v>628</v>
      </c>
      <c r="P629" s="10">
        <v>562534.82491595729</v>
      </c>
    </row>
    <row r="630" spans="15:16" x14ac:dyDescent="0.35">
      <c r="O630">
        <v>629</v>
      </c>
      <c r="P630" s="10">
        <v>566636.13528738951</v>
      </c>
    </row>
    <row r="631" spans="15:16" x14ac:dyDescent="0.35">
      <c r="O631">
        <v>630</v>
      </c>
      <c r="P631" s="10">
        <v>553751.76488952374</v>
      </c>
    </row>
    <row r="632" spans="15:16" x14ac:dyDescent="0.35">
      <c r="O632">
        <v>631</v>
      </c>
      <c r="P632" s="10">
        <v>566540.09225232911</v>
      </c>
    </row>
    <row r="633" spans="15:16" x14ac:dyDescent="0.35">
      <c r="O633">
        <v>632</v>
      </c>
      <c r="P633" s="10">
        <v>556519.05535823468</v>
      </c>
    </row>
    <row r="634" spans="15:16" x14ac:dyDescent="0.35">
      <c r="O634">
        <v>633</v>
      </c>
      <c r="P634" s="10">
        <v>557781.74334843096</v>
      </c>
    </row>
    <row r="635" spans="15:16" x14ac:dyDescent="0.35">
      <c r="O635">
        <v>634</v>
      </c>
      <c r="P635" s="10">
        <v>562970.14867281099</v>
      </c>
    </row>
    <row r="636" spans="15:16" x14ac:dyDescent="0.35">
      <c r="O636">
        <v>635</v>
      </c>
      <c r="P636" s="10">
        <v>544138.38658073859</v>
      </c>
    </row>
    <row r="637" spans="15:16" x14ac:dyDescent="0.35">
      <c r="O637">
        <v>636</v>
      </c>
      <c r="P637" s="10">
        <v>519354.44917518256</v>
      </c>
    </row>
    <row r="638" spans="15:16" x14ac:dyDescent="0.35">
      <c r="O638">
        <v>637</v>
      </c>
      <c r="P638" s="10">
        <v>559063.71082185826</v>
      </c>
    </row>
    <row r="639" spans="15:16" x14ac:dyDescent="0.35">
      <c r="O639">
        <v>638</v>
      </c>
      <c r="P639" s="10">
        <v>558147.41715559037</v>
      </c>
    </row>
    <row r="640" spans="15:16" x14ac:dyDescent="0.35">
      <c r="O640">
        <v>639</v>
      </c>
      <c r="P640" s="10">
        <v>561863.94378507091</v>
      </c>
    </row>
    <row r="641" spans="15:16" x14ac:dyDescent="0.35">
      <c r="O641">
        <v>640</v>
      </c>
      <c r="P641" s="10">
        <v>569368.67516455974</v>
      </c>
    </row>
    <row r="642" spans="15:16" x14ac:dyDescent="0.35">
      <c r="O642">
        <v>641</v>
      </c>
      <c r="P642" s="10">
        <v>565451.98606004659</v>
      </c>
    </row>
    <row r="643" spans="15:16" x14ac:dyDescent="0.35">
      <c r="O643">
        <v>642</v>
      </c>
      <c r="P643" s="10">
        <v>577107.64176535327</v>
      </c>
    </row>
    <row r="644" spans="15:16" x14ac:dyDescent="0.35">
      <c r="O644">
        <v>643</v>
      </c>
      <c r="P644" s="10">
        <v>540371.47653076868</v>
      </c>
    </row>
    <row r="645" spans="15:16" x14ac:dyDescent="0.35">
      <c r="O645">
        <v>644</v>
      </c>
      <c r="P645" s="10">
        <v>563187.57392899832</v>
      </c>
    </row>
    <row r="646" spans="15:16" x14ac:dyDescent="0.35">
      <c r="O646">
        <v>645</v>
      </c>
      <c r="P646" s="10">
        <v>571896.60600781778</v>
      </c>
    </row>
    <row r="647" spans="15:16" x14ac:dyDescent="0.35">
      <c r="O647">
        <v>646</v>
      </c>
      <c r="P647" s="10">
        <v>546681.2786698374</v>
      </c>
    </row>
    <row r="648" spans="15:16" x14ac:dyDescent="0.35">
      <c r="O648">
        <v>647</v>
      </c>
      <c r="P648" s="10">
        <v>557791.97087947477</v>
      </c>
    </row>
    <row r="649" spans="15:16" x14ac:dyDescent="0.35">
      <c r="O649">
        <v>648</v>
      </c>
      <c r="P649" s="10">
        <v>562102.79226703243</v>
      </c>
    </row>
    <row r="650" spans="15:16" x14ac:dyDescent="0.35">
      <c r="O650">
        <v>649</v>
      </c>
      <c r="P650" s="10">
        <v>557226.95331094321</v>
      </c>
    </row>
    <row r="651" spans="15:16" x14ac:dyDescent="0.35">
      <c r="O651">
        <v>650</v>
      </c>
      <c r="P651" s="10">
        <v>545846.76094492048</v>
      </c>
    </row>
    <row r="652" spans="15:16" x14ac:dyDescent="0.35">
      <c r="O652">
        <v>651</v>
      </c>
      <c r="P652" s="10">
        <v>544130.98225061351</v>
      </c>
    </row>
    <row r="653" spans="15:16" x14ac:dyDescent="0.35">
      <c r="O653">
        <v>652</v>
      </c>
      <c r="P653" s="10">
        <v>569306.99940315739</v>
      </c>
    </row>
    <row r="654" spans="15:16" x14ac:dyDescent="0.35">
      <c r="O654">
        <v>653</v>
      </c>
      <c r="P654" s="10">
        <v>570375.43504314451</v>
      </c>
    </row>
    <row r="655" spans="15:16" x14ac:dyDescent="0.35">
      <c r="O655">
        <v>654</v>
      </c>
      <c r="P655" s="10">
        <v>551290.36241943354</v>
      </c>
    </row>
    <row r="656" spans="15:16" x14ac:dyDescent="0.35">
      <c r="O656">
        <v>655</v>
      </c>
      <c r="P656" s="10">
        <v>554717.91638905182</v>
      </c>
    </row>
    <row r="657" spans="15:16" x14ac:dyDescent="0.35">
      <c r="O657">
        <v>656</v>
      </c>
      <c r="P657" s="10">
        <v>556758.7449693731</v>
      </c>
    </row>
    <row r="658" spans="15:16" x14ac:dyDescent="0.35">
      <c r="O658">
        <v>657</v>
      </c>
      <c r="P658" s="10">
        <v>566926.54963011551</v>
      </c>
    </row>
    <row r="659" spans="15:16" x14ac:dyDescent="0.35">
      <c r="O659">
        <v>658</v>
      </c>
      <c r="P659" s="10">
        <v>540862.1796064775</v>
      </c>
    </row>
    <row r="660" spans="15:16" x14ac:dyDescent="0.35">
      <c r="O660">
        <v>659</v>
      </c>
      <c r="P660" s="10">
        <v>541837.91100180324</v>
      </c>
    </row>
    <row r="661" spans="15:16" x14ac:dyDescent="0.35">
      <c r="O661">
        <v>660</v>
      </c>
      <c r="P661" s="10">
        <v>566357.53115589789</v>
      </c>
    </row>
    <row r="662" spans="15:16" x14ac:dyDescent="0.35">
      <c r="O662">
        <v>661</v>
      </c>
      <c r="P662" s="10">
        <v>546945.12810711877</v>
      </c>
    </row>
    <row r="663" spans="15:16" x14ac:dyDescent="0.35">
      <c r="O663">
        <v>662</v>
      </c>
      <c r="P663" s="10">
        <v>576503.40511896054</v>
      </c>
    </row>
    <row r="664" spans="15:16" x14ac:dyDescent="0.35">
      <c r="O664">
        <v>663</v>
      </c>
      <c r="P664" s="10">
        <v>570907.40373900498</v>
      </c>
    </row>
    <row r="665" spans="15:16" x14ac:dyDescent="0.35">
      <c r="O665">
        <v>664</v>
      </c>
      <c r="P665" s="10">
        <v>552801.24164760578</v>
      </c>
    </row>
    <row r="666" spans="15:16" x14ac:dyDescent="0.35">
      <c r="O666">
        <v>665</v>
      </c>
      <c r="P666" s="10">
        <v>556375.98097541509</v>
      </c>
    </row>
    <row r="667" spans="15:16" x14ac:dyDescent="0.35">
      <c r="O667">
        <v>666</v>
      </c>
      <c r="P667" s="10">
        <v>568983.92958692473</v>
      </c>
    </row>
    <row r="668" spans="15:16" x14ac:dyDescent="0.35">
      <c r="O668">
        <v>667</v>
      </c>
      <c r="P668" s="10">
        <v>548997.61184621206</v>
      </c>
    </row>
    <row r="669" spans="15:16" x14ac:dyDescent="0.35">
      <c r="O669">
        <v>668</v>
      </c>
      <c r="P669" s="10">
        <v>566852.19802032085</v>
      </c>
    </row>
    <row r="670" spans="15:16" x14ac:dyDescent="0.35">
      <c r="O670">
        <v>669</v>
      </c>
      <c r="P670" s="10">
        <v>561315.25083985669</v>
      </c>
    </row>
    <row r="671" spans="15:16" x14ac:dyDescent="0.35">
      <c r="O671">
        <v>670</v>
      </c>
      <c r="P671" s="10">
        <v>582719.18681627454</v>
      </c>
    </row>
    <row r="672" spans="15:16" x14ac:dyDescent="0.35">
      <c r="O672">
        <v>671</v>
      </c>
      <c r="P672" s="10">
        <v>523380.15610472683</v>
      </c>
    </row>
    <row r="673" spans="15:16" x14ac:dyDescent="0.35">
      <c r="O673">
        <v>672</v>
      </c>
      <c r="P673" s="10">
        <v>577575.43412229605</v>
      </c>
    </row>
    <row r="674" spans="15:16" x14ac:dyDescent="0.35">
      <c r="O674">
        <v>673</v>
      </c>
      <c r="P674" s="10">
        <v>565534.66865309072</v>
      </c>
    </row>
    <row r="675" spans="15:16" x14ac:dyDescent="0.35">
      <c r="O675">
        <v>674</v>
      </c>
      <c r="P675" s="10">
        <v>549591.50896493171</v>
      </c>
    </row>
    <row r="676" spans="15:16" x14ac:dyDescent="0.35">
      <c r="O676">
        <v>675</v>
      </c>
      <c r="P676" s="10">
        <v>595923.69103145716</v>
      </c>
    </row>
    <row r="677" spans="15:16" x14ac:dyDescent="0.35">
      <c r="O677">
        <v>676</v>
      </c>
      <c r="P677" s="10">
        <v>544541.75107946317</v>
      </c>
    </row>
    <row r="678" spans="15:16" x14ac:dyDescent="0.35">
      <c r="O678">
        <v>677</v>
      </c>
      <c r="P678" s="10">
        <v>549675.4913882527</v>
      </c>
    </row>
    <row r="679" spans="15:16" x14ac:dyDescent="0.35">
      <c r="O679">
        <v>678</v>
      </c>
      <c r="P679" s="10">
        <v>588273.41292642511</v>
      </c>
    </row>
    <row r="680" spans="15:16" x14ac:dyDescent="0.35">
      <c r="O680">
        <v>679</v>
      </c>
      <c r="P680" s="10">
        <v>560038.43726856366</v>
      </c>
    </row>
    <row r="681" spans="15:16" x14ac:dyDescent="0.35">
      <c r="O681">
        <v>680</v>
      </c>
      <c r="P681" s="10">
        <v>556481.24026451493</v>
      </c>
    </row>
    <row r="682" spans="15:16" x14ac:dyDescent="0.35">
      <c r="O682">
        <v>681</v>
      </c>
      <c r="P682" s="10">
        <v>571143.34039998194</v>
      </c>
    </row>
    <row r="683" spans="15:16" x14ac:dyDescent="0.35">
      <c r="O683">
        <v>682</v>
      </c>
      <c r="P683" s="10">
        <v>552080.52334326366</v>
      </c>
    </row>
    <row r="684" spans="15:16" x14ac:dyDescent="0.35">
      <c r="O684">
        <v>683</v>
      </c>
      <c r="P684" s="10">
        <v>541681.47882034769</v>
      </c>
    </row>
    <row r="685" spans="15:16" x14ac:dyDescent="0.35">
      <c r="O685">
        <v>684</v>
      </c>
      <c r="P685" s="10">
        <v>564074.47928196378</v>
      </c>
    </row>
    <row r="686" spans="15:16" x14ac:dyDescent="0.35">
      <c r="O686">
        <v>685</v>
      </c>
      <c r="P686" s="10">
        <v>567488.70305073203</v>
      </c>
    </row>
    <row r="687" spans="15:16" x14ac:dyDescent="0.35">
      <c r="O687">
        <v>686</v>
      </c>
      <c r="P687" s="10">
        <v>582853.71637425141</v>
      </c>
    </row>
    <row r="688" spans="15:16" x14ac:dyDescent="0.35">
      <c r="O688">
        <v>687</v>
      </c>
      <c r="P688" s="10">
        <v>591644.75302639243</v>
      </c>
    </row>
    <row r="689" spans="15:16" x14ac:dyDescent="0.35">
      <c r="O689">
        <v>688</v>
      </c>
      <c r="P689" s="10">
        <v>577005.20883575757</v>
      </c>
    </row>
    <row r="690" spans="15:16" x14ac:dyDescent="0.35">
      <c r="O690">
        <v>689</v>
      </c>
      <c r="P690" s="10">
        <v>561831.7420365687</v>
      </c>
    </row>
    <row r="691" spans="15:16" x14ac:dyDescent="0.35">
      <c r="O691">
        <v>690</v>
      </c>
      <c r="P691" s="10">
        <v>563084.97146560741</v>
      </c>
    </row>
    <row r="692" spans="15:16" x14ac:dyDescent="0.35">
      <c r="O692">
        <v>691</v>
      </c>
      <c r="P692" s="10">
        <v>552342.83207190968</v>
      </c>
    </row>
    <row r="693" spans="15:16" x14ac:dyDescent="0.35">
      <c r="O693">
        <v>692</v>
      </c>
      <c r="P693" s="10">
        <v>560510.93985400978</v>
      </c>
    </row>
    <row r="694" spans="15:16" x14ac:dyDescent="0.35">
      <c r="O694">
        <v>693</v>
      </c>
      <c r="P694" s="10">
        <v>543757.89456868044</v>
      </c>
    </row>
    <row r="695" spans="15:16" x14ac:dyDescent="0.35">
      <c r="O695">
        <v>694</v>
      </c>
      <c r="P695" s="10">
        <v>550997.61443264934</v>
      </c>
    </row>
    <row r="696" spans="15:16" x14ac:dyDescent="0.35">
      <c r="O696">
        <v>695</v>
      </c>
      <c r="P696" s="10">
        <v>559144.85120235523</v>
      </c>
    </row>
    <row r="697" spans="15:16" x14ac:dyDescent="0.35">
      <c r="O697">
        <v>696</v>
      </c>
      <c r="P697" s="10">
        <v>569263.70997256692</v>
      </c>
    </row>
    <row r="698" spans="15:16" x14ac:dyDescent="0.35">
      <c r="O698">
        <v>697</v>
      </c>
      <c r="P698" s="10">
        <v>550572.41733831761</v>
      </c>
    </row>
    <row r="699" spans="15:16" x14ac:dyDescent="0.35">
      <c r="O699">
        <v>698</v>
      </c>
      <c r="P699" s="10">
        <v>577599.44115096505</v>
      </c>
    </row>
    <row r="700" spans="15:16" x14ac:dyDescent="0.35">
      <c r="O700">
        <v>699</v>
      </c>
      <c r="P700" s="10">
        <v>557286.17535114766</v>
      </c>
    </row>
    <row r="701" spans="15:16" x14ac:dyDescent="0.35">
      <c r="O701">
        <v>700</v>
      </c>
      <c r="P701" s="10">
        <v>588307.67364903539</v>
      </c>
    </row>
    <row r="702" spans="15:16" x14ac:dyDescent="0.35">
      <c r="O702">
        <v>701</v>
      </c>
      <c r="P702" s="10">
        <v>568590.63630377129</v>
      </c>
    </row>
    <row r="703" spans="15:16" x14ac:dyDescent="0.35">
      <c r="O703">
        <v>702</v>
      </c>
      <c r="P703" s="10">
        <v>548753.86099034233</v>
      </c>
    </row>
    <row r="704" spans="15:16" x14ac:dyDescent="0.35">
      <c r="O704">
        <v>703</v>
      </c>
      <c r="P704" s="10">
        <v>559695.94773863687</v>
      </c>
    </row>
    <row r="705" spans="15:16" x14ac:dyDescent="0.35">
      <c r="O705">
        <v>704</v>
      </c>
      <c r="P705" s="10">
        <v>572032.12637137831</v>
      </c>
    </row>
    <row r="706" spans="15:16" x14ac:dyDescent="0.35">
      <c r="O706">
        <v>705</v>
      </c>
      <c r="P706" s="10">
        <v>551678.31959633646</v>
      </c>
    </row>
    <row r="707" spans="15:16" x14ac:dyDescent="0.35">
      <c r="O707">
        <v>706</v>
      </c>
      <c r="P707" s="10">
        <v>551034.82124681398</v>
      </c>
    </row>
    <row r="708" spans="15:16" x14ac:dyDescent="0.35">
      <c r="O708">
        <v>707</v>
      </c>
      <c r="P708" s="10">
        <v>551280.45417820301</v>
      </c>
    </row>
    <row r="709" spans="15:16" x14ac:dyDescent="0.35">
      <c r="O709">
        <v>708</v>
      </c>
      <c r="P709" s="10">
        <v>579227.34151271335</v>
      </c>
    </row>
    <row r="710" spans="15:16" x14ac:dyDescent="0.35">
      <c r="O710">
        <v>709</v>
      </c>
      <c r="P710" s="10">
        <v>569269.03711277363</v>
      </c>
    </row>
    <row r="711" spans="15:16" x14ac:dyDescent="0.35">
      <c r="O711">
        <v>710</v>
      </c>
      <c r="P711" s="10">
        <v>587896.432422293</v>
      </c>
    </row>
    <row r="712" spans="15:16" x14ac:dyDescent="0.35">
      <c r="O712">
        <v>711</v>
      </c>
      <c r="P712" s="10">
        <v>561797.66495984595</v>
      </c>
    </row>
    <row r="713" spans="15:16" x14ac:dyDescent="0.35">
      <c r="O713">
        <v>712</v>
      </c>
      <c r="P713" s="10">
        <v>546135.64336312842</v>
      </c>
    </row>
    <row r="714" spans="15:16" x14ac:dyDescent="0.35">
      <c r="O714">
        <v>713</v>
      </c>
      <c r="P714" s="10">
        <v>559051.94050344301</v>
      </c>
    </row>
    <row r="715" spans="15:16" x14ac:dyDescent="0.35">
      <c r="O715">
        <v>714</v>
      </c>
      <c r="P715" s="10">
        <v>558222.09421692614</v>
      </c>
    </row>
    <row r="716" spans="15:16" x14ac:dyDescent="0.35">
      <c r="O716">
        <v>715</v>
      </c>
      <c r="P716" s="10">
        <v>567802.44895673217</v>
      </c>
    </row>
    <row r="717" spans="15:16" x14ac:dyDescent="0.35">
      <c r="O717">
        <v>716</v>
      </c>
      <c r="P717" s="10">
        <v>573713.48885901412</v>
      </c>
    </row>
    <row r="718" spans="15:16" x14ac:dyDescent="0.35">
      <c r="O718">
        <v>717</v>
      </c>
      <c r="P718" s="10">
        <v>547188.54223376606</v>
      </c>
    </row>
    <row r="719" spans="15:16" x14ac:dyDescent="0.35">
      <c r="O719">
        <v>718</v>
      </c>
      <c r="P719" s="10">
        <v>554033.29922956601</v>
      </c>
    </row>
    <row r="720" spans="15:16" x14ac:dyDescent="0.35">
      <c r="O720">
        <v>719</v>
      </c>
      <c r="P720" s="10">
        <v>569132.7041104486</v>
      </c>
    </row>
    <row r="721" spans="15:16" x14ac:dyDescent="0.35">
      <c r="O721">
        <v>720</v>
      </c>
      <c r="P721" s="10">
        <v>563861.86385039135</v>
      </c>
    </row>
    <row r="722" spans="15:16" x14ac:dyDescent="0.35">
      <c r="O722">
        <v>721</v>
      </c>
      <c r="P722" s="10">
        <v>583748.15389416914</v>
      </c>
    </row>
    <row r="723" spans="15:16" x14ac:dyDescent="0.35">
      <c r="O723">
        <v>722</v>
      </c>
      <c r="P723" s="10">
        <v>557333.18355063151</v>
      </c>
    </row>
    <row r="724" spans="15:16" x14ac:dyDescent="0.35">
      <c r="O724">
        <v>723</v>
      </c>
      <c r="P724" s="10">
        <v>551711.1865593238</v>
      </c>
    </row>
    <row r="725" spans="15:16" x14ac:dyDescent="0.35">
      <c r="O725">
        <v>724</v>
      </c>
      <c r="P725" s="10">
        <v>567916.9425291894</v>
      </c>
    </row>
    <row r="726" spans="15:16" x14ac:dyDescent="0.35">
      <c r="O726">
        <v>725</v>
      </c>
      <c r="P726" s="10">
        <v>551558.88846882177</v>
      </c>
    </row>
    <row r="727" spans="15:16" x14ac:dyDescent="0.35">
      <c r="O727">
        <v>726</v>
      </c>
      <c r="P727" s="10">
        <v>547134.15228954493</v>
      </c>
    </row>
    <row r="728" spans="15:16" x14ac:dyDescent="0.35">
      <c r="O728">
        <v>727</v>
      </c>
      <c r="P728" s="10">
        <v>584212.74942228722</v>
      </c>
    </row>
    <row r="729" spans="15:16" x14ac:dyDescent="0.35">
      <c r="O729">
        <v>728</v>
      </c>
      <c r="P729" s="10">
        <v>552851.8801851382</v>
      </c>
    </row>
    <row r="730" spans="15:16" x14ac:dyDescent="0.35">
      <c r="O730">
        <v>729</v>
      </c>
      <c r="P730" s="10">
        <v>534028.3857589215</v>
      </c>
    </row>
    <row r="731" spans="15:16" x14ac:dyDescent="0.35">
      <c r="O731">
        <v>730</v>
      </c>
      <c r="P731" s="10">
        <v>548733.96085904958</v>
      </c>
    </row>
    <row r="732" spans="15:16" x14ac:dyDescent="0.35">
      <c r="O732">
        <v>731</v>
      </c>
      <c r="P732" s="10">
        <v>552849.5062910812</v>
      </c>
    </row>
    <row r="733" spans="15:16" x14ac:dyDescent="0.35">
      <c r="O733">
        <v>732</v>
      </c>
      <c r="P733" s="10">
        <v>551487.20039472717</v>
      </c>
    </row>
    <row r="734" spans="15:16" x14ac:dyDescent="0.35">
      <c r="O734">
        <v>733</v>
      </c>
      <c r="P734" s="10">
        <v>564537.60314847284</v>
      </c>
    </row>
    <row r="735" spans="15:16" x14ac:dyDescent="0.35">
      <c r="O735">
        <v>734</v>
      </c>
      <c r="P735" s="10">
        <v>556453.29121717333</v>
      </c>
    </row>
    <row r="736" spans="15:16" x14ac:dyDescent="0.35">
      <c r="O736">
        <v>735</v>
      </c>
      <c r="P736" s="10">
        <v>560606.86304748757</v>
      </c>
    </row>
    <row r="737" spans="15:16" x14ac:dyDescent="0.35">
      <c r="O737">
        <v>736</v>
      </c>
      <c r="P737" s="10">
        <v>555674.50722680846</v>
      </c>
    </row>
    <row r="738" spans="15:16" x14ac:dyDescent="0.35">
      <c r="O738">
        <v>737</v>
      </c>
      <c r="P738" s="10">
        <v>583363.26943975117</v>
      </c>
    </row>
    <row r="739" spans="15:16" x14ac:dyDescent="0.35">
      <c r="O739">
        <v>738</v>
      </c>
      <c r="P739" s="10">
        <v>531258.74996146385</v>
      </c>
    </row>
    <row r="740" spans="15:16" x14ac:dyDescent="0.35">
      <c r="O740">
        <v>739</v>
      </c>
      <c r="P740" s="10">
        <v>567905.00852303789</v>
      </c>
    </row>
    <row r="741" spans="15:16" x14ac:dyDescent="0.35">
      <c r="O741">
        <v>740</v>
      </c>
      <c r="P741" s="10">
        <v>545999.75062551966</v>
      </c>
    </row>
    <row r="742" spans="15:16" x14ac:dyDescent="0.35">
      <c r="O742">
        <v>741</v>
      </c>
      <c r="P742" s="10">
        <v>563423.60860190552</v>
      </c>
    </row>
    <row r="743" spans="15:16" x14ac:dyDescent="0.35">
      <c r="O743">
        <v>742</v>
      </c>
      <c r="P743" s="10">
        <v>571610.24935503211</v>
      </c>
    </row>
    <row r="744" spans="15:16" x14ac:dyDescent="0.35">
      <c r="O744">
        <v>743</v>
      </c>
      <c r="P744" s="10">
        <v>532745.81042011315</v>
      </c>
    </row>
    <row r="745" spans="15:16" x14ac:dyDescent="0.35">
      <c r="O745">
        <v>744</v>
      </c>
      <c r="P745" s="10">
        <v>573441.55126450746</v>
      </c>
    </row>
    <row r="746" spans="15:16" x14ac:dyDescent="0.35">
      <c r="O746">
        <v>745</v>
      </c>
      <c r="P746" s="10">
        <v>583866.91945921467</v>
      </c>
    </row>
    <row r="747" spans="15:16" x14ac:dyDescent="0.35">
      <c r="O747">
        <v>746</v>
      </c>
      <c r="P747" s="10">
        <v>582162.41674360854</v>
      </c>
    </row>
    <row r="748" spans="15:16" x14ac:dyDescent="0.35">
      <c r="O748">
        <v>747</v>
      </c>
      <c r="P748" s="10">
        <v>571364.85433921579</v>
      </c>
    </row>
    <row r="749" spans="15:16" x14ac:dyDescent="0.35">
      <c r="O749">
        <v>748</v>
      </c>
      <c r="P749" s="10">
        <v>580319.40135691396</v>
      </c>
    </row>
    <row r="750" spans="15:16" x14ac:dyDescent="0.35">
      <c r="O750">
        <v>749</v>
      </c>
      <c r="P750" s="10">
        <v>571706.61836395937</v>
      </c>
    </row>
    <row r="751" spans="15:16" x14ac:dyDescent="0.35">
      <c r="O751">
        <v>750</v>
      </c>
      <c r="P751" s="10">
        <v>536395.68047993677</v>
      </c>
    </row>
    <row r="752" spans="15:16" x14ac:dyDescent="0.35">
      <c r="O752">
        <v>751</v>
      </c>
      <c r="P752" s="10">
        <v>565425.74838255579</v>
      </c>
    </row>
    <row r="753" spans="15:16" x14ac:dyDescent="0.35">
      <c r="O753">
        <v>752</v>
      </c>
      <c r="P753" s="10">
        <v>543439.55786453688</v>
      </c>
    </row>
    <row r="754" spans="15:16" x14ac:dyDescent="0.35">
      <c r="O754">
        <v>753</v>
      </c>
      <c r="P754" s="10">
        <v>597112.43960918556</v>
      </c>
    </row>
    <row r="755" spans="15:16" x14ac:dyDescent="0.35">
      <c r="O755">
        <v>754</v>
      </c>
      <c r="P755" s="10">
        <v>567929.35807270207</v>
      </c>
    </row>
    <row r="756" spans="15:16" x14ac:dyDescent="0.35">
      <c r="O756">
        <v>755</v>
      </c>
      <c r="P756" s="10">
        <v>554176.86820563534</v>
      </c>
    </row>
    <row r="757" spans="15:16" x14ac:dyDescent="0.35">
      <c r="O757">
        <v>756</v>
      </c>
      <c r="P757" s="10">
        <v>541601.60049346695</v>
      </c>
    </row>
    <row r="758" spans="15:16" x14ac:dyDescent="0.35">
      <c r="O758">
        <v>757</v>
      </c>
      <c r="P758" s="10">
        <v>582248.82904960343</v>
      </c>
    </row>
    <row r="759" spans="15:16" x14ac:dyDescent="0.35">
      <c r="O759">
        <v>758</v>
      </c>
      <c r="P759" s="10">
        <v>560228.76178242743</v>
      </c>
    </row>
    <row r="760" spans="15:16" x14ac:dyDescent="0.35">
      <c r="O760">
        <v>759</v>
      </c>
      <c r="P760" s="10">
        <v>543056.95361771563</v>
      </c>
    </row>
    <row r="761" spans="15:16" x14ac:dyDescent="0.35">
      <c r="O761">
        <v>760</v>
      </c>
      <c r="P761" s="10">
        <v>555603.90296576952</v>
      </c>
    </row>
    <row r="762" spans="15:16" x14ac:dyDescent="0.35">
      <c r="O762">
        <v>761</v>
      </c>
      <c r="P762" s="10">
        <v>558328.69739480503</v>
      </c>
    </row>
    <row r="763" spans="15:16" x14ac:dyDescent="0.35">
      <c r="O763">
        <v>762</v>
      </c>
      <c r="P763" s="10">
        <v>562708.81721524161</v>
      </c>
    </row>
    <row r="764" spans="15:16" x14ac:dyDescent="0.35">
      <c r="O764">
        <v>763</v>
      </c>
      <c r="P764" s="10">
        <v>551960.87152652116</v>
      </c>
    </row>
    <row r="765" spans="15:16" x14ac:dyDescent="0.35">
      <c r="O765">
        <v>764</v>
      </c>
      <c r="P765" s="10">
        <v>535741.82994796627</v>
      </c>
    </row>
    <row r="766" spans="15:16" x14ac:dyDescent="0.35">
      <c r="O766">
        <v>765</v>
      </c>
      <c r="P766" s="10">
        <v>558605.23919532483</v>
      </c>
    </row>
    <row r="767" spans="15:16" x14ac:dyDescent="0.35">
      <c r="O767">
        <v>766</v>
      </c>
      <c r="P767" s="10">
        <v>555719.22868833959</v>
      </c>
    </row>
    <row r="768" spans="15:16" x14ac:dyDescent="0.35">
      <c r="O768">
        <v>767</v>
      </c>
      <c r="P768" s="10">
        <v>564493.71179174306</v>
      </c>
    </row>
    <row r="769" spans="15:16" x14ac:dyDescent="0.35">
      <c r="O769">
        <v>768</v>
      </c>
      <c r="P769" s="10">
        <v>568942.53410709009</v>
      </c>
    </row>
    <row r="770" spans="15:16" x14ac:dyDescent="0.35">
      <c r="O770">
        <v>769</v>
      </c>
      <c r="P770" s="10">
        <v>561450.29456925835</v>
      </c>
    </row>
    <row r="771" spans="15:16" x14ac:dyDescent="0.35">
      <c r="O771">
        <v>770</v>
      </c>
      <c r="P771" s="10">
        <v>533132.86623485514</v>
      </c>
    </row>
    <row r="772" spans="15:16" x14ac:dyDescent="0.35">
      <c r="O772">
        <v>771</v>
      </c>
      <c r="P772" s="10">
        <v>572224.22723528952</v>
      </c>
    </row>
    <row r="773" spans="15:16" x14ac:dyDescent="0.35">
      <c r="O773">
        <v>772</v>
      </c>
      <c r="P773" s="10">
        <v>561410.7643549979</v>
      </c>
    </row>
    <row r="774" spans="15:16" x14ac:dyDescent="0.35">
      <c r="O774">
        <v>773</v>
      </c>
      <c r="P774" s="10">
        <v>550302.86080072774</v>
      </c>
    </row>
    <row r="775" spans="15:16" x14ac:dyDescent="0.35">
      <c r="O775">
        <v>774</v>
      </c>
      <c r="P775" s="10">
        <v>578543.47197390406</v>
      </c>
    </row>
    <row r="776" spans="15:16" x14ac:dyDescent="0.35">
      <c r="O776">
        <v>775</v>
      </c>
      <c r="P776" s="10">
        <v>570218.70772282884</v>
      </c>
    </row>
    <row r="777" spans="15:16" x14ac:dyDescent="0.35">
      <c r="O777">
        <v>776</v>
      </c>
      <c r="P777" s="10">
        <v>565289.32601510733</v>
      </c>
    </row>
    <row r="778" spans="15:16" x14ac:dyDescent="0.35">
      <c r="O778">
        <v>777</v>
      </c>
      <c r="P778" s="10">
        <v>553217.34878993989</v>
      </c>
    </row>
    <row r="779" spans="15:16" x14ac:dyDescent="0.35">
      <c r="O779">
        <v>778</v>
      </c>
      <c r="P779" s="10">
        <v>563656.11534487607</v>
      </c>
    </row>
    <row r="780" spans="15:16" x14ac:dyDescent="0.35">
      <c r="O780">
        <v>779</v>
      </c>
      <c r="P780" s="10">
        <v>567402.82898388687</v>
      </c>
    </row>
    <row r="781" spans="15:16" x14ac:dyDescent="0.35">
      <c r="O781">
        <v>780</v>
      </c>
      <c r="P781" s="10">
        <v>586979.45853416855</v>
      </c>
    </row>
    <row r="782" spans="15:16" x14ac:dyDescent="0.35">
      <c r="O782">
        <v>781</v>
      </c>
      <c r="P782" s="10">
        <v>553325.13110671449</v>
      </c>
    </row>
    <row r="783" spans="15:16" x14ac:dyDescent="0.35">
      <c r="O783">
        <v>782</v>
      </c>
      <c r="P783" s="10">
        <v>552457.10778218717</v>
      </c>
    </row>
    <row r="784" spans="15:16" x14ac:dyDescent="0.35">
      <c r="O784">
        <v>783</v>
      </c>
      <c r="P784" s="10">
        <v>578066.07841931633</v>
      </c>
    </row>
    <row r="785" spans="15:16" x14ac:dyDescent="0.35">
      <c r="O785">
        <v>784</v>
      </c>
      <c r="P785" s="10">
        <v>561919.01202690217</v>
      </c>
    </row>
    <row r="786" spans="15:16" x14ac:dyDescent="0.35">
      <c r="O786">
        <v>785</v>
      </c>
      <c r="P786" s="10">
        <v>558540.67397394322</v>
      </c>
    </row>
    <row r="787" spans="15:16" x14ac:dyDescent="0.35">
      <c r="O787">
        <v>786</v>
      </c>
      <c r="P787" s="10">
        <v>554479.38780058292</v>
      </c>
    </row>
    <row r="788" spans="15:16" x14ac:dyDescent="0.35">
      <c r="O788">
        <v>787</v>
      </c>
      <c r="P788" s="10">
        <v>537797.22752513411</v>
      </c>
    </row>
    <row r="789" spans="15:16" x14ac:dyDescent="0.35">
      <c r="O789">
        <v>788</v>
      </c>
      <c r="P789" s="10">
        <v>552568.63627298479</v>
      </c>
    </row>
    <row r="790" spans="15:16" x14ac:dyDescent="0.35">
      <c r="O790">
        <v>789</v>
      </c>
      <c r="P790" s="10">
        <v>565368.07794004225</v>
      </c>
    </row>
    <row r="791" spans="15:16" x14ac:dyDescent="0.35">
      <c r="O791">
        <v>790</v>
      </c>
      <c r="P791" s="10">
        <v>579298.90084257443</v>
      </c>
    </row>
    <row r="792" spans="15:16" x14ac:dyDescent="0.35">
      <c r="O792">
        <v>791</v>
      </c>
      <c r="P792" s="10">
        <v>576359.96608963434</v>
      </c>
    </row>
    <row r="793" spans="15:16" x14ac:dyDescent="0.35">
      <c r="O793">
        <v>792</v>
      </c>
      <c r="P793" s="10">
        <v>560253.45559958427</v>
      </c>
    </row>
    <row r="794" spans="15:16" x14ac:dyDescent="0.35">
      <c r="O794">
        <v>793</v>
      </c>
      <c r="P794" s="10">
        <v>565286.83780071465</v>
      </c>
    </row>
    <row r="795" spans="15:16" x14ac:dyDescent="0.35">
      <c r="O795">
        <v>794</v>
      </c>
      <c r="P795" s="10">
        <v>585064.83375650865</v>
      </c>
    </row>
    <row r="796" spans="15:16" x14ac:dyDescent="0.35">
      <c r="O796">
        <v>795</v>
      </c>
      <c r="P796" s="10">
        <v>557435.69412198279</v>
      </c>
    </row>
    <row r="797" spans="15:16" x14ac:dyDescent="0.35">
      <c r="O797">
        <v>796</v>
      </c>
      <c r="P797" s="10">
        <v>554467.55529476807</v>
      </c>
    </row>
    <row r="798" spans="15:16" x14ac:dyDescent="0.35">
      <c r="O798">
        <v>797</v>
      </c>
      <c r="P798" s="10">
        <v>553332.03530315449</v>
      </c>
    </row>
    <row r="799" spans="15:16" x14ac:dyDescent="0.35">
      <c r="O799">
        <v>798</v>
      </c>
      <c r="P799" s="10">
        <v>572264.29084092774</v>
      </c>
    </row>
    <row r="800" spans="15:16" x14ac:dyDescent="0.35">
      <c r="O800">
        <v>799</v>
      </c>
      <c r="P800" s="10">
        <v>556138.72255831352</v>
      </c>
    </row>
    <row r="801" spans="15:16" x14ac:dyDescent="0.35">
      <c r="O801">
        <v>800</v>
      </c>
      <c r="P801" s="10">
        <v>567631.09764911397</v>
      </c>
    </row>
    <row r="802" spans="15:16" x14ac:dyDescent="0.35">
      <c r="O802">
        <v>801</v>
      </c>
      <c r="P802" s="10">
        <v>540676.64621927007</v>
      </c>
    </row>
    <row r="803" spans="15:16" x14ac:dyDescent="0.35">
      <c r="O803">
        <v>802</v>
      </c>
      <c r="P803" s="10">
        <v>578739.40935134841</v>
      </c>
    </row>
    <row r="804" spans="15:16" x14ac:dyDescent="0.35">
      <c r="O804">
        <v>803</v>
      </c>
      <c r="P804" s="10">
        <v>582893.32872462494</v>
      </c>
    </row>
    <row r="805" spans="15:16" x14ac:dyDescent="0.35">
      <c r="O805">
        <v>804</v>
      </c>
      <c r="P805" s="10">
        <v>551643.31695406814</v>
      </c>
    </row>
    <row r="806" spans="15:16" x14ac:dyDescent="0.35">
      <c r="O806">
        <v>805</v>
      </c>
      <c r="P806" s="10">
        <v>563276.52483828308</v>
      </c>
    </row>
    <row r="807" spans="15:16" x14ac:dyDescent="0.35">
      <c r="O807">
        <v>806</v>
      </c>
      <c r="P807" s="10">
        <v>545825.28576117731</v>
      </c>
    </row>
    <row r="808" spans="15:16" x14ac:dyDescent="0.35">
      <c r="O808">
        <v>807</v>
      </c>
      <c r="P808" s="10">
        <v>576676.0772703517</v>
      </c>
    </row>
    <row r="809" spans="15:16" x14ac:dyDescent="0.35">
      <c r="O809">
        <v>808</v>
      </c>
      <c r="P809" s="10">
        <v>569737.30295611382</v>
      </c>
    </row>
    <row r="810" spans="15:16" x14ac:dyDescent="0.35">
      <c r="O810">
        <v>809</v>
      </c>
      <c r="P810" s="10">
        <v>543461.93271237798</v>
      </c>
    </row>
    <row r="811" spans="15:16" x14ac:dyDescent="0.35">
      <c r="O811">
        <v>810</v>
      </c>
      <c r="P811" s="10">
        <v>550557.89305371977</v>
      </c>
    </row>
    <row r="812" spans="15:16" x14ac:dyDescent="0.35">
      <c r="O812">
        <v>811</v>
      </c>
      <c r="P812" s="10">
        <v>536492.20715673547</v>
      </c>
    </row>
    <row r="813" spans="15:16" x14ac:dyDescent="0.35">
      <c r="O813">
        <v>812</v>
      </c>
      <c r="P813" s="10">
        <v>595695.32032633654</v>
      </c>
    </row>
    <row r="814" spans="15:16" x14ac:dyDescent="0.35">
      <c r="O814">
        <v>813</v>
      </c>
      <c r="P814" s="10">
        <v>558358.39482139307</v>
      </c>
    </row>
    <row r="815" spans="15:16" x14ac:dyDescent="0.35">
      <c r="O815">
        <v>814</v>
      </c>
      <c r="P815" s="10">
        <v>564483.17494261486</v>
      </c>
    </row>
    <row r="816" spans="15:16" x14ac:dyDescent="0.35">
      <c r="O816">
        <v>815</v>
      </c>
      <c r="P816" s="10">
        <v>555246.11521569639</v>
      </c>
    </row>
    <row r="817" spans="15:16" x14ac:dyDescent="0.35">
      <c r="O817">
        <v>816</v>
      </c>
      <c r="P817" s="10">
        <v>550361.88460356614</v>
      </c>
    </row>
    <row r="818" spans="15:16" x14ac:dyDescent="0.35">
      <c r="O818">
        <v>817</v>
      </c>
      <c r="P818" s="10">
        <v>561505.01597603201</v>
      </c>
    </row>
    <row r="819" spans="15:16" x14ac:dyDescent="0.35">
      <c r="O819">
        <v>818</v>
      </c>
      <c r="P819" s="10">
        <v>553470.87929102499</v>
      </c>
    </row>
    <row r="820" spans="15:16" x14ac:dyDescent="0.35">
      <c r="O820">
        <v>819</v>
      </c>
      <c r="P820" s="10">
        <v>551734.54277499521</v>
      </c>
    </row>
    <row r="821" spans="15:16" x14ac:dyDescent="0.35">
      <c r="O821">
        <v>820</v>
      </c>
      <c r="P821" s="10">
        <v>558874.04160839447</v>
      </c>
    </row>
    <row r="822" spans="15:16" x14ac:dyDescent="0.35">
      <c r="O822">
        <v>821</v>
      </c>
      <c r="P822" s="10">
        <v>546586.89486471633</v>
      </c>
    </row>
    <row r="823" spans="15:16" x14ac:dyDescent="0.35">
      <c r="O823">
        <v>822</v>
      </c>
      <c r="P823" s="10">
        <v>564417.54708563723</v>
      </c>
    </row>
    <row r="824" spans="15:16" x14ac:dyDescent="0.35">
      <c r="O824">
        <v>823</v>
      </c>
      <c r="P824" s="10">
        <v>571701.22911375412</v>
      </c>
    </row>
    <row r="825" spans="15:16" x14ac:dyDescent="0.35">
      <c r="O825">
        <v>824</v>
      </c>
      <c r="P825" s="10">
        <v>556093.02792849659</v>
      </c>
    </row>
    <row r="826" spans="15:16" x14ac:dyDescent="0.35">
      <c r="O826">
        <v>825</v>
      </c>
      <c r="P826" s="10">
        <v>549137.03262974229</v>
      </c>
    </row>
    <row r="827" spans="15:16" x14ac:dyDescent="0.35">
      <c r="O827">
        <v>826</v>
      </c>
      <c r="P827" s="10">
        <v>583630.03149117343</v>
      </c>
    </row>
    <row r="828" spans="15:16" x14ac:dyDescent="0.35">
      <c r="O828">
        <v>827</v>
      </c>
      <c r="P828" s="10">
        <v>566097.7038288383</v>
      </c>
    </row>
    <row r="829" spans="15:16" x14ac:dyDescent="0.35">
      <c r="O829">
        <v>828</v>
      </c>
      <c r="P829" s="10">
        <v>554685.39819268323</v>
      </c>
    </row>
    <row r="830" spans="15:16" x14ac:dyDescent="0.35">
      <c r="O830">
        <v>829</v>
      </c>
      <c r="P830" s="10">
        <v>546297.11066029768</v>
      </c>
    </row>
    <row r="831" spans="15:16" x14ac:dyDescent="0.35">
      <c r="O831">
        <v>830</v>
      </c>
      <c r="P831" s="10">
        <v>556012.68972278968</v>
      </c>
    </row>
    <row r="832" spans="15:16" x14ac:dyDescent="0.35">
      <c r="O832">
        <v>831</v>
      </c>
      <c r="P832" s="10">
        <v>561951.73848887952</v>
      </c>
    </row>
    <row r="833" spans="15:16" x14ac:dyDescent="0.35">
      <c r="O833">
        <v>832</v>
      </c>
      <c r="P833" s="10">
        <v>558254.37518862786</v>
      </c>
    </row>
    <row r="834" spans="15:16" x14ac:dyDescent="0.35">
      <c r="O834">
        <v>833</v>
      </c>
      <c r="P834" s="10">
        <v>567849.93092948117</v>
      </c>
    </row>
    <row r="835" spans="15:16" x14ac:dyDescent="0.35">
      <c r="O835">
        <v>834</v>
      </c>
      <c r="P835" s="10">
        <v>544738.92391327745</v>
      </c>
    </row>
    <row r="836" spans="15:16" x14ac:dyDescent="0.35">
      <c r="O836">
        <v>835</v>
      </c>
      <c r="P836" s="10">
        <v>535113.31348713068</v>
      </c>
    </row>
    <row r="837" spans="15:16" x14ac:dyDescent="0.35">
      <c r="O837">
        <v>836</v>
      </c>
      <c r="P837" s="10">
        <v>567986.04916788312</v>
      </c>
    </row>
    <row r="838" spans="15:16" x14ac:dyDescent="0.35">
      <c r="O838">
        <v>837</v>
      </c>
      <c r="P838" s="10">
        <v>562650.2731143526</v>
      </c>
    </row>
    <row r="839" spans="15:16" x14ac:dyDescent="0.35">
      <c r="O839">
        <v>838</v>
      </c>
      <c r="P839" s="10">
        <v>565557.80019719934</v>
      </c>
    </row>
    <row r="840" spans="15:16" x14ac:dyDescent="0.35">
      <c r="O840">
        <v>839</v>
      </c>
      <c r="P840" s="10">
        <v>571561.44297239452</v>
      </c>
    </row>
    <row r="841" spans="15:16" x14ac:dyDescent="0.35">
      <c r="O841">
        <v>840</v>
      </c>
      <c r="P841" s="10">
        <v>541840.15103005606</v>
      </c>
    </row>
    <row r="842" spans="15:16" x14ac:dyDescent="0.35">
      <c r="O842">
        <v>841</v>
      </c>
      <c r="P842" s="10">
        <v>556576.5304944783</v>
      </c>
    </row>
    <row r="843" spans="15:16" x14ac:dyDescent="0.35">
      <c r="O843">
        <v>842</v>
      </c>
      <c r="P843" s="10">
        <v>559891.95239226485</v>
      </c>
    </row>
    <row r="844" spans="15:16" x14ac:dyDescent="0.35">
      <c r="O844">
        <v>843</v>
      </c>
      <c r="P844" s="10">
        <v>551729.02259093546</v>
      </c>
    </row>
    <row r="845" spans="15:16" x14ac:dyDescent="0.35">
      <c r="O845">
        <v>844</v>
      </c>
      <c r="P845" s="10">
        <v>554752.77459989395</v>
      </c>
    </row>
    <row r="846" spans="15:16" x14ac:dyDescent="0.35">
      <c r="O846">
        <v>845</v>
      </c>
      <c r="P846" s="10">
        <v>543128.71584372956</v>
      </c>
    </row>
    <row r="847" spans="15:16" x14ac:dyDescent="0.35">
      <c r="O847">
        <v>846</v>
      </c>
      <c r="P847" s="10">
        <v>549317.10537737771</v>
      </c>
    </row>
    <row r="848" spans="15:16" x14ac:dyDescent="0.35">
      <c r="O848">
        <v>847</v>
      </c>
      <c r="P848" s="10">
        <v>565865.48157757102</v>
      </c>
    </row>
    <row r="849" spans="15:16" x14ac:dyDescent="0.35">
      <c r="O849">
        <v>848</v>
      </c>
      <c r="P849" s="10">
        <v>567157.39834886801</v>
      </c>
    </row>
    <row r="850" spans="15:16" x14ac:dyDescent="0.35">
      <c r="O850">
        <v>849</v>
      </c>
      <c r="P850" s="10">
        <v>565639.41183047916</v>
      </c>
    </row>
    <row r="851" spans="15:16" x14ac:dyDescent="0.35">
      <c r="O851">
        <v>850</v>
      </c>
      <c r="P851" s="10">
        <v>550819.09448377311</v>
      </c>
    </row>
    <row r="852" spans="15:16" x14ac:dyDescent="0.35">
      <c r="O852">
        <v>851</v>
      </c>
      <c r="P852" s="10">
        <v>536549.54981972149</v>
      </c>
    </row>
    <row r="853" spans="15:16" x14ac:dyDescent="0.35">
      <c r="O853">
        <v>852</v>
      </c>
      <c r="P853" s="10">
        <v>539960.56070501462</v>
      </c>
    </row>
    <row r="854" spans="15:16" x14ac:dyDescent="0.35">
      <c r="O854">
        <v>853</v>
      </c>
      <c r="P854" s="10">
        <v>557152.72946380195</v>
      </c>
    </row>
    <row r="855" spans="15:16" x14ac:dyDescent="0.35">
      <c r="O855">
        <v>854</v>
      </c>
      <c r="P855" s="10">
        <v>574902.33263698139</v>
      </c>
    </row>
    <row r="856" spans="15:16" x14ac:dyDescent="0.35">
      <c r="O856">
        <v>855</v>
      </c>
      <c r="P856" s="10">
        <v>561257.49309230573</v>
      </c>
    </row>
    <row r="857" spans="15:16" x14ac:dyDescent="0.35">
      <c r="O857">
        <v>856</v>
      </c>
      <c r="P857" s="10">
        <v>535506.37147479004</v>
      </c>
    </row>
    <row r="858" spans="15:16" x14ac:dyDescent="0.35">
      <c r="O858">
        <v>857</v>
      </c>
      <c r="P858" s="10">
        <v>560719.13233851909</v>
      </c>
    </row>
    <row r="859" spans="15:16" x14ac:dyDescent="0.35">
      <c r="O859">
        <v>858</v>
      </c>
      <c r="P859" s="10">
        <v>576009.27934732789</v>
      </c>
    </row>
    <row r="860" spans="15:16" x14ac:dyDescent="0.35">
      <c r="O860">
        <v>859</v>
      </c>
      <c r="P860" s="10">
        <v>558237.60732942016</v>
      </c>
    </row>
    <row r="861" spans="15:16" x14ac:dyDescent="0.35">
      <c r="O861">
        <v>860</v>
      </c>
      <c r="P861" s="10">
        <v>559763.6334536355</v>
      </c>
    </row>
    <row r="862" spans="15:16" x14ac:dyDescent="0.35">
      <c r="O862">
        <v>861</v>
      </c>
      <c r="P862" s="10">
        <v>561644.21032334119</v>
      </c>
    </row>
    <row r="863" spans="15:16" x14ac:dyDescent="0.35">
      <c r="O863">
        <v>862</v>
      </c>
      <c r="P863" s="10">
        <v>576488.92915316229</v>
      </c>
    </row>
    <row r="864" spans="15:16" x14ac:dyDescent="0.35">
      <c r="O864">
        <v>863</v>
      </c>
      <c r="P864" s="10">
        <v>572190.69659092498</v>
      </c>
    </row>
    <row r="865" spans="15:16" x14ac:dyDescent="0.35">
      <c r="O865">
        <v>864</v>
      </c>
      <c r="P865" s="10">
        <v>568458.66989986482</v>
      </c>
    </row>
    <row r="866" spans="15:16" x14ac:dyDescent="0.35">
      <c r="O866">
        <v>865</v>
      </c>
      <c r="P866" s="10">
        <v>563509.94676101767</v>
      </c>
    </row>
    <row r="867" spans="15:16" x14ac:dyDescent="0.35">
      <c r="O867">
        <v>866</v>
      </c>
      <c r="P867" s="10">
        <v>569049.22308487061</v>
      </c>
    </row>
    <row r="868" spans="15:16" x14ac:dyDescent="0.35">
      <c r="O868">
        <v>867</v>
      </c>
      <c r="P868" s="10">
        <v>579944.88303631556</v>
      </c>
    </row>
    <row r="869" spans="15:16" x14ac:dyDescent="0.35">
      <c r="O869">
        <v>868</v>
      </c>
      <c r="P869" s="10">
        <v>576901.02347928507</v>
      </c>
    </row>
    <row r="870" spans="15:16" x14ac:dyDescent="0.35">
      <c r="O870">
        <v>869</v>
      </c>
      <c r="P870" s="10">
        <v>543794.55713971588</v>
      </c>
    </row>
    <row r="871" spans="15:16" x14ac:dyDescent="0.35">
      <c r="O871">
        <v>870</v>
      </c>
      <c r="P871" s="10">
        <v>568838.73047615052</v>
      </c>
    </row>
    <row r="872" spans="15:16" x14ac:dyDescent="0.35">
      <c r="O872">
        <v>871</v>
      </c>
      <c r="P872" s="10">
        <v>546239.61730852921</v>
      </c>
    </row>
    <row r="873" spans="15:16" x14ac:dyDescent="0.35">
      <c r="O873">
        <v>872</v>
      </c>
      <c r="P873" s="10">
        <v>549087.6254415476</v>
      </c>
    </row>
    <row r="874" spans="15:16" x14ac:dyDescent="0.35">
      <c r="O874">
        <v>873</v>
      </c>
      <c r="P874" s="10">
        <v>547767.38360087504</v>
      </c>
    </row>
    <row r="875" spans="15:16" x14ac:dyDescent="0.35">
      <c r="O875">
        <v>874</v>
      </c>
      <c r="P875" s="10">
        <v>561570.1783644167</v>
      </c>
    </row>
    <row r="876" spans="15:16" x14ac:dyDescent="0.35">
      <c r="O876">
        <v>875</v>
      </c>
      <c r="P876" s="10">
        <v>566272.39556439163</v>
      </c>
    </row>
    <row r="877" spans="15:16" x14ac:dyDescent="0.35">
      <c r="O877">
        <v>876</v>
      </c>
      <c r="P877" s="10">
        <v>559449.74494767876</v>
      </c>
    </row>
    <row r="878" spans="15:16" x14ac:dyDescent="0.35">
      <c r="O878">
        <v>877</v>
      </c>
      <c r="P878" s="10">
        <v>560338.39231842721</v>
      </c>
    </row>
    <row r="879" spans="15:16" x14ac:dyDescent="0.35">
      <c r="O879">
        <v>878</v>
      </c>
      <c r="P879" s="10">
        <v>571032.42711184337</v>
      </c>
    </row>
    <row r="880" spans="15:16" x14ac:dyDescent="0.35">
      <c r="O880">
        <v>879</v>
      </c>
      <c r="P880" s="10">
        <v>583273.42294983973</v>
      </c>
    </row>
    <row r="881" spans="15:16" x14ac:dyDescent="0.35">
      <c r="O881">
        <v>880</v>
      </c>
      <c r="P881" s="10">
        <v>546885.9260245692</v>
      </c>
    </row>
    <row r="882" spans="15:16" x14ac:dyDescent="0.35">
      <c r="O882">
        <v>881</v>
      </c>
      <c r="P882" s="10">
        <v>548296.86021266598</v>
      </c>
    </row>
    <row r="883" spans="15:16" x14ac:dyDescent="0.35">
      <c r="O883">
        <v>882</v>
      </c>
      <c r="P883" s="10">
        <v>577707.97411050601</v>
      </c>
    </row>
    <row r="884" spans="15:16" x14ac:dyDescent="0.35">
      <c r="O884">
        <v>883</v>
      </c>
      <c r="P884" s="10">
        <v>557104.19030482019</v>
      </c>
    </row>
    <row r="885" spans="15:16" x14ac:dyDescent="0.35">
      <c r="O885">
        <v>884</v>
      </c>
      <c r="P885" s="10">
        <v>548092.19183766458</v>
      </c>
    </row>
    <row r="886" spans="15:16" x14ac:dyDescent="0.35">
      <c r="O886">
        <v>885</v>
      </c>
      <c r="P886" s="10">
        <v>580353.60741705017</v>
      </c>
    </row>
    <row r="887" spans="15:16" x14ac:dyDescent="0.35">
      <c r="O887">
        <v>886</v>
      </c>
      <c r="P887" s="10">
        <v>593804.11788122647</v>
      </c>
    </row>
    <row r="888" spans="15:16" x14ac:dyDescent="0.35">
      <c r="O888">
        <v>887</v>
      </c>
      <c r="P888" s="10">
        <v>582231.42698554823</v>
      </c>
    </row>
    <row r="889" spans="15:16" x14ac:dyDescent="0.35">
      <c r="O889">
        <v>888</v>
      </c>
      <c r="P889" s="10">
        <v>567759.33852082316</v>
      </c>
    </row>
    <row r="890" spans="15:16" x14ac:dyDescent="0.35">
      <c r="O890">
        <v>889</v>
      </c>
      <c r="P890" s="10">
        <v>577287.97280720179</v>
      </c>
    </row>
    <row r="891" spans="15:16" x14ac:dyDescent="0.35">
      <c r="O891">
        <v>890</v>
      </c>
      <c r="P891" s="10">
        <v>560939.72785443859</v>
      </c>
    </row>
    <row r="892" spans="15:16" x14ac:dyDescent="0.35">
      <c r="O892">
        <v>891</v>
      </c>
      <c r="P892" s="10">
        <v>569459.56839947158</v>
      </c>
    </row>
    <row r="893" spans="15:16" x14ac:dyDescent="0.35">
      <c r="O893">
        <v>892</v>
      </c>
      <c r="P893" s="10">
        <v>552181.19078629778</v>
      </c>
    </row>
    <row r="894" spans="15:16" x14ac:dyDescent="0.35">
      <c r="O894">
        <v>893</v>
      </c>
      <c r="P894" s="10">
        <v>600167.50769310677</v>
      </c>
    </row>
    <row r="895" spans="15:16" x14ac:dyDescent="0.35">
      <c r="O895">
        <v>894</v>
      </c>
      <c r="P895" s="10">
        <v>587818.98802985332</v>
      </c>
    </row>
    <row r="896" spans="15:16" x14ac:dyDescent="0.35">
      <c r="O896">
        <v>895</v>
      </c>
      <c r="P896" s="10">
        <v>579184.13728114939</v>
      </c>
    </row>
    <row r="897" spans="15:16" x14ac:dyDescent="0.35">
      <c r="O897">
        <v>896</v>
      </c>
      <c r="P897" s="10">
        <v>572120.98980706651</v>
      </c>
    </row>
    <row r="898" spans="15:16" x14ac:dyDescent="0.35">
      <c r="O898">
        <v>897</v>
      </c>
      <c r="P898" s="10">
        <v>563978.36563166871</v>
      </c>
    </row>
    <row r="899" spans="15:16" x14ac:dyDescent="0.35">
      <c r="O899">
        <v>898</v>
      </c>
      <c r="P899" s="10">
        <v>575764.59330708534</v>
      </c>
    </row>
    <row r="900" spans="15:16" x14ac:dyDescent="0.35">
      <c r="O900">
        <v>899</v>
      </c>
      <c r="P900" s="10">
        <v>532095.70546999376</v>
      </c>
    </row>
    <row r="901" spans="15:16" x14ac:dyDescent="0.35">
      <c r="O901">
        <v>900</v>
      </c>
      <c r="P901" s="10">
        <v>541053.46709693701</v>
      </c>
    </row>
    <row r="902" spans="15:16" x14ac:dyDescent="0.35">
      <c r="O902">
        <v>901</v>
      </c>
      <c r="P902" s="10">
        <v>565352.2968263902</v>
      </c>
    </row>
    <row r="903" spans="15:16" x14ac:dyDescent="0.35">
      <c r="O903">
        <v>902</v>
      </c>
      <c r="P903" s="10">
        <v>532023.24141749379</v>
      </c>
    </row>
    <row r="904" spans="15:16" x14ac:dyDescent="0.35">
      <c r="O904">
        <v>903</v>
      </c>
      <c r="P904" s="10">
        <v>569571.59623649775</v>
      </c>
    </row>
    <row r="905" spans="15:16" x14ac:dyDescent="0.35">
      <c r="O905">
        <v>904</v>
      </c>
      <c r="P905" s="10">
        <v>559994.19260488532</v>
      </c>
    </row>
    <row r="906" spans="15:16" x14ac:dyDescent="0.35">
      <c r="O906">
        <v>905</v>
      </c>
      <c r="P906" s="10">
        <v>559789.06689864746</v>
      </c>
    </row>
    <row r="907" spans="15:16" x14ac:dyDescent="0.35">
      <c r="O907">
        <v>906</v>
      </c>
      <c r="P907" s="10">
        <v>545009.4960905622</v>
      </c>
    </row>
    <row r="908" spans="15:16" x14ac:dyDescent="0.35">
      <c r="O908">
        <v>907</v>
      </c>
      <c r="P908" s="10">
        <v>544581.8708685392</v>
      </c>
    </row>
    <row r="909" spans="15:16" x14ac:dyDescent="0.35">
      <c r="O909">
        <v>908</v>
      </c>
      <c r="P909" s="10">
        <v>554958.65029019082</v>
      </c>
    </row>
    <row r="910" spans="15:16" x14ac:dyDescent="0.35">
      <c r="O910">
        <v>909</v>
      </c>
      <c r="P910" s="10">
        <v>541625.68221820053</v>
      </c>
    </row>
    <row r="911" spans="15:16" x14ac:dyDescent="0.35">
      <c r="O911">
        <v>910</v>
      </c>
      <c r="P911" s="10">
        <v>552004.29342207406</v>
      </c>
    </row>
    <row r="912" spans="15:16" x14ac:dyDescent="0.35">
      <c r="O912">
        <v>911</v>
      </c>
      <c r="P912" s="10">
        <v>569551.77125710656</v>
      </c>
    </row>
    <row r="913" spans="15:16" x14ac:dyDescent="0.35">
      <c r="O913">
        <v>912</v>
      </c>
      <c r="P913" s="10">
        <v>560426.27937559865</v>
      </c>
    </row>
    <row r="914" spans="15:16" x14ac:dyDescent="0.35">
      <c r="O914">
        <v>913</v>
      </c>
      <c r="P914" s="10">
        <v>542094.53405894525</v>
      </c>
    </row>
    <row r="915" spans="15:16" x14ac:dyDescent="0.35">
      <c r="O915">
        <v>914</v>
      </c>
      <c r="P915" s="10">
        <v>572493.00621887681</v>
      </c>
    </row>
    <row r="916" spans="15:16" x14ac:dyDescent="0.35">
      <c r="O916">
        <v>915</v>
      </c>
      <c r="P916" s="10">
        <v>590543.80082477804</v>
      </c>
    </row>
    <row r="917" spans="15:16" x14ac:dyDescent="0.35">
      <c r="O917">
        <v>916</v>
      </c>
      <c r="P917" s="10">
        <v>565551.57396813063</v>
      </c>
    </row>
    <row r="918" spans="15:16" x14ac:dyDescent="0.35">
      <c r="O918">
        <v>917</v>
      </c>
      <c r="P918" s="10">
        <v>569734.05958998494</v>
      </c>
    </row>
    <row r="919" spans="15:16" x14ac:dyDescent="0.35">
      <c r="O919">
        <v>918</v>
      </c>
      <c r="P919" s="10">
        <v>551818.63243043597</v>
      </c>
    </row>
    <row r="920" spans="15:16" x14ac:dyDescent="0.35">
      <c r="O920">
        <v>919</v>
      </c>
      <c r="P920" s="10">
        <v>572429.97253611998</v>
      </c>
    </row>
    <row r="921" spans="15:16" x14ac:dyDescent="0.35">
      <c r="O921">
        <v>920</v>
      </c>
      <c r="P921" s="10">
        <v>579530.96503861248</v>
      </c>
    </row>
    <row r="922" spans="15:16" x14ac:dyDescent="0.35">
      <c r="O922">
        <v>921</v>
      </c>
      <c r="P922" s="10">
        <v>561780.5942052824</v>
      </c>
    </row>
    <row r="923" spans="15:16" x14ac:dyDescent="0.35">
      <c r="O923">
        <v>922</v>
      </c>
      <c r="P923" s="10">
        <v>574102.66082765744</v>
      </c>
    </row>
    <row r="924" spans="15:16" x14ac:dyDescent="0.35">
      <c r="O924">
        <v>923</v>
      </c>
      <c r="P924" s="10">
        <v>546176.05298683071</v>
      </c>
    </row>
    <row r="925" spans="15:16" x14ac:dyDescent="0.35">
      <c r="O925">
        <v>924</v>
      </c>
      <c r="P925" s="10">
        <v>540756.92677682929</v>
      </c>
    </row>
    <row r="926" spans="15:16" x14ac:dyDescent="0.35">
      <c r="O926">
        <v>925</v>
      </c>
      <c r="P926" s="10">
        <v>542487.57743532816</v>
      </c>
    </row>
    <row r="927" spans="15:16" x14ac:dyDescent="0.35">
      <c r="O927">
        <v>926</v>
      </c>
      <c r="P927" s="10">
        <v>543727.35635444778</v>
      </c>
    </row>
    <row r="928" spans="15:16" x14ac:dyDescent="0.35">
      <c r="O928">
        <v>927</v>
      </c>
      <c r="P928" s="10">
        <v>572879.41894289863</v>
      </c>
    </row>
    <row r="929" spans="15:16" x14ac:dyDescent="0.35">
      <c r="O929">
        <v>928</v>
      </c>
      <c r="P929" s="10">
        <v>555087.6538595868</v>
      </c>
    </row>
    <row r="930" spans="15:16" x14ac:dyDescent="0.35">
      <c r="O930">
        <v>929</v>
      </c>
      <c r="P930" s="10">
        <v>533313.50415253418</v>
      </c>
    </row>
    <row r="931" spans="15:16" x14ac:dyDescent="0.35">
      <c r="O931">
        <v>930</v>
      </c>
      <c r="P931" s="10">
        <v>557825.98853843787</v>
      </c>
    </row>
    <row r="932" spans="15:16" x14ac:dyDescent="0.35">
      <c r="O932">
        <v>931</v>
      </c>
      <c r="P932" s="10">
        <v>555751.2874630146</v>
      </c>
    </row>
    <row r="933" spans="15:16" x14ac:dyDescent="0.35">
      <c r="O933">
        <v>932</v>
      </c>
      <c r="P933" s="10">
        <v>539935.63792953931</v>
      </c>
    </row>
    <row r="934" spans="15:16" x14ac:dyDescent="0.35">
      <c r="O934">
        <v>933</v>
      </c>
      <c r="P934" s="10">
        <v>550453.56202971668</v>
      </c>
    </row>
    <row r="935" spans="15:16" x14ac:dyDescent="0.35">
      <c r="O935">
        <v>934</v>
      </c>
      <c r="P935" s="10">
        <v>567032.94720920455</v>
      </c>
    </row>
    <row r="936" spans="15:16" x14ac:dyDescent="0.35">
      <c r="O936">
        <v>935</v>
      </c>
      <c r="P936" s="10">
        <v>590093.85624933115</v>
      </c>
    </row>
    <row r="937" spans="15:16" x14ac:dyDescent="0.35">
      <c r="O937">
        <v>936</v>
      </c>
      <c r="P937" s="10">
        <v>555229.9442024841</v>
      </c>
    </row>
    <row r="938" spans="15:16" x14ac:dyDescent="0.35">
      <c r="O938">
        <v>937</v>
      </c>
      <c r="P938" s="10">
        <v>566568.65329744632</v>
      </c>
    </row>
    <row r="939" spans="15:16" x14ac:dyDescent="0.35">
      <c r="O939">
        <v>938</v>
      </c>
      <c r="P939" s="10">
        <v>557654.5739412324</v>
      </c>
    </row>
    <row r="940" spans="15:16" x14ac:dyDescent="0.35">
      <c r="O940">
        <v>939</v>
      </c>
      <c r="P940" s="10">
        <v>584784.73954777431</v>
      </c>
    </row>
    <row r="941" spans="15:16" x14ac:dyDescent="0.35">
      <c r="O941">
        <v>940</v>
      </c>
      <c r="P941" s="10">
        <v>562212.34346296976</v>
      </c>
    </row>
    <row r="942" spans="15:16" x14ac:dyDescent="0.35">
      <c r="O942">
        <v>941</v>
      </c>
      <c r="P942" s="10">
        <v>553738.15889023326</v>
      </c>
    </row>
    <row r="943" spans="15:16" x14ac:dyDescent="0.35">
      <c r="O943">
        <v>942</v>
      </c>
      <c r="P943" s="10">
        <v>560664.2292502491</v>
      </c>
    </row>
    <row r="944" spans="15:16" x14ac:dyDescent="0.35">
      <c r="O944">
        <v>943</v>
      </c>
      <c r="P944" s="10">
        <v>552073.03022017365</v>
      </c>
    </row>
    <row r="945" spans="15:16" x14ac:dyDescent="0.35">
      <c r="O945">
        <v>944</v>
      </c>
      <c r="P945" s="10">
        <v>518636.80688652996</v>
      </c>
    </row>
    <row r="946" spans="15:16" x14ac:dyDescent="0.35">
      <c r="O946">
        <v>945</v>
      </c>
      <c r="P946" s="10">
        <v>564913.65142302099</v>
      </c>
    </row>
    <row r="947" spans="15:16" x14ac:dyDescent="0.35">
      <c r="O947">
        <v>946</v>
      </c>
      <c r="P947" s="10">
        <v>546771.86121026555</v>
      </c>
    </row>
    <row r="948" spans="15:16" x14ac:dyDescent="0.35">
      <c r="O948">
        <v>947</v>
      </c>
      <c r="P948" s="10">
        <v>540977.2593811074</v>
      </c>
    </row>
    <row r="949" spans="15:16" x14ac:dyDescent="0.35">
      <c r="O949">
        <v>948</v>
      </c>
      <c r="P949" s="10">
        <v>564914.19286358997</v>
      </c>
    </row>
    <row r="950" spans="15:16" x14ac:dyDescent="0.35">
      <c r="O950">
        <v>949</v>
      </c>
      <c r="P950" s="10">
        <v>559975.29750081082</v>
      </c>
    </row>
    <row r="951" spans="15:16" x14ac:dyDescent="0.35">
      <c r="O951">
        <v>950</v>
      </c>
      <c r="P951" s="10">
        <v>564909.41837171279</v>
      </c>
    </row>
    <row r="952" spans="15:16" x14ac:dyDescent="0.35">
      <c r="O952">
        <v>951</v>
      </c>
      <c r="P952" s="10">
        <v>566674.40209408081</v>
      </c>
    </row>
    <row r="953" spans="15:16" x14ac:dyDescent="0.35">
      <c r="O953">
        <v>952</v>
      </c>
      <c r="P953" s="10">
        <v>566590.07492330694</v>
      </c>
    </row>
    <row r="954" spans="15:16" x14ac:dyDescent="0.35">
      <c r="O954">
        <v>953</v>
      </c>
      <c r="P954" s="10">
        <v>540275.67904631037</v>
      </c>
    </row>
    <row r="955" spans="15:16" x14ac:dyDescent="0.35">
      <c r="O955">
        <v>954</v>
      </c>
      <c r="P955" s="10">
        <v>558958.24880821188</v>
      </c>
    </row>
    <row r="956" spans="15:16" x14ac:dyDescent="0.35">
      <c r="O956">
        <v>955</v>
      </c>
      <c r="P956" s="10">
        <v>584320.43569219834</v>
      </c>
    </row>
    <row r="957" spans="15:16" x14ac:dyDescent="0.35">
      <c r="O957">
        <v>956</v>
      </c>
      <c r="P957" s="10">
        <v>564975.70524389122</v>
      </c>
    </row>
    <row r="958" spans="15:16" x14ac:dyDescent="0.35">
      <c r="O958">
        <v>957</v>
      </c>
      <c r="P958" s="10">
        <v>555442.44688057317</v>
      </c>
    </row>
    <row r="959" spans="15:16" x14ac:dyDescent="0.35">
      <c r="O959">
        <v>958</v>
      </c>
      <c r="P959" s="10">
        <v>565234.81253003294</v>
      </c>
    </row>
    <row r="960" spans="15:16" x14ac:dyDescent="0.35">
      <c r="O960">
        <v>959</v>
      </c>
      <c r="P960" s="10">
        <v>555416.24517520622</v>
      </c>
    </row>
    <row r="961" spans="15:16" x14ac:dyDescent="0.35">
      <c r="O961">
        <v>960</v>
      </c>
      <c r="P961" s="10">
        <v>550951.63354372617</v>
      </c>
    </row>
    <row r="962" spans="15:16" x14ac:dyDescent="0.35">
      <c r="O962">
        <v>961</v>
      </c>
      <c r="P962" s="10">
        <v>546081.39031238086</v>
      </c>
    </row>
    <row r="963" spans="15:16" x14ac:dyDescent="0.35">
      <c r="O963">
        <v>962</v>
      </c>
      <c r="P963" s="10">
        <v>576038.5913847005</v>
      </c>
    </row>
    <row r="964" spans="15:16" x14ac:dyDescent="0.35">
      <c r="O964">
        <v>963</v>
      </c>
      <c r="P964" s="10">
        <v>552263.36824216018</v>
      </c>
    </row>
    <row r="965" spans="15:16" x14ac:dyDescent="0.35">
      <c r="O965">
        <v>964</v>
      </c>
      <c r="P965" s="10">
        <v>543926.5433223329</v>
      </c>
    </row>
    <row r="966" spans="15:16" x14ac:dyDescent="0.35">
      <c r="O966">
        <v>965</v>
      </c>
      <c r="P966" s="10">
        <v>530635.58185822645</v>
      </c>
    </row>
    <row r="967" spans="15:16" x14ac:dyDescent="0.35">
      <c r="O967">
        <v>966</v>
      </c>
      <c r="P967" s="10">
        <v>555566.91299060907</v>
      </c>
    </row>
    <row r="968" spans="15:16" x14ac:dyDescent="0.35">
      <c r="O968">
        <v>967</v>
      </c>
      <c r="P968" s="10">
        <v>553267.77704371035</v>
      </c>
    </row>
    <row r="969" spans="15:16" x14ac:dyDescent="0.35">
      <c r="O969">
        <v>968</v>
      </c>
      <c r="P969" s="10">
        <v>563397.38656763174</v>
      </c>
    </row>
    <row r="970" spans="15:16" x14ac:dyDescent="0.35">
      <c r="O970">
        <v>969</v>
      </c>
      <c r="P970" s="10">
        <v>548731.4654960694</v>
      </c>
    </row>
    <row r="971" spans="15:16" x14ac:dyDescent="0.35">
      <c r="O971">
        <v>970</v>
      </c>
      <c r="P971" s="10">
        <v>564986.35699421621</v>
      </c>
    </row>
    <row r="972" spans="15:16" x14ac:dyDescent="0.35">
      <c r="O972">
        <v>971</v>
      </c>
      <c r="P972" s="10">
        <v>560371.39537395106</v>
      </c>
    </row>
    <row r="973" spans="15:16" x14ac:dyDescent="0.35">
      <c r="O973">
        <v>972</v>
      </c>
      <c r="P973" s="10">
        <v>555132.33585067547</v>
      </c>
    </row>
    <row r="974" spans="15:16" x14ac:dyDescent="0.35">
      <c r="O974">
        <v>973</v>
      </c>
      <c r="P974" s="10">
        <v>547353.22211686242</v>
      </c>
    </row>
    <row r="975" spans="15:16" x14ac:dyDescent="0.35">
      <c r="O975">
        <v>974</v>
      </c>
      <c r="P975" s="10">
        <v>552536.89307849621</v>
      </c>
    </row>
    <row r="976" spans="15:16" x14ac:dyDescent="0.35">
      <c r="O976">
        <v>975</v>
      </c>
      <c r="P976" s="10">
        <v>564682.42693308531</v>
      </c>
    </row>
    <row r="977" spans="15:16" x14ac:dyDescent="0.35">
      <c r="O977">
        <v>976</v>
      </c>
      <c r="P977" s="10">
        <v>548323.69698886294</v>
      </c>
    </row>
    <row r="978" spans="15:16" x14ac:dyDescent="0.35">
      <c r="O978">
        <v>977</v>
      </c>
      <c r="P978" s="10">
        <v>579005.23084087099</v>
      </c>
    </row>
    <row r="979" spans="15:16" x14ac:dyDescent="0.35">
      <c r="O979">
        <v>978</v>
      </c>
      <c r="P979" s="10">
        <v>554625.04108376568</v>
      </c>
    </row>
    <row r="980" spans="15:16" x14ac:dyDescent="0.35">
      <c r="O980">
        <v>979</v>
      </c>
      <c r="P980" s="10">
        <v>547864.30627898243</v>
      </c>
    </row>
    <row r="981" spans="15:16" x14ac:dyDescent="0.35">
      <c r="O981">
        <v>980</v>
      </c>
      <c r="P981" s="10">
        <v>557502.44794963801</v>
      </c>
    </row>
    <row r="982" spans="15:16" x14ac:dyDescent="0.35">
      <c r="O982">
        <v>981</v>
      </c>
      <c r="P982" s="10">
        <v>564143.55536913523</v>
      </c>
    </row>
    <row r="983" spans="15:16" x14ac:dyDescent="0.35">
      <c r="O983">
        <v>982</v>
      </c>
      <c r="P983" s="10">
        <v>551583.01662309666</v>
      </c>
    </row>
    <row r="984" spans="15:16" x14ac:dyDescent="0.35">
      <c r="O984">
        <v>983</v>
      </c>
      <c r="P984" s="10">
        <v>566714.29595050251</v>
      </c>
    </row>
    <row r="985" spans="15:16" x14ac:dyDescent="0.35">
      <c r="O985">
        <v>984</v>
      </c>
      <c r="P985" s="10">
        <v>572429.11362769071</v>
      </c>
    </row>
    <row r="986" spans="15:16" x14ac:dyDescent="0.35">
      <c r="O986">
        <v>985</v>
      </c>
      <c r="P986" s="10">
        <v>554586.60900703073</v>
      </c>
    </row>
    <row r="987" spans="15:16" x14ac:dyDescent="0.35">
      <c r="O987">
        <v>986</v>
      </c>
      <c r="P987" s="10">
        <v>550617.43070079025</v>
      </c>
    </row>
    <row r="988" spans="15:16" x14ac:dyDescent="0.35">
      <c r="O988">
        <v>987</v>
      </c>
      <c r="P988" s="10">
        <v>543362.14036961389</v>
      </c>
    </row>
    <row r="989" spans="15:16" x14ac:dyDescent="0.35">
      <c r="O989">
        <v>988</v>
      </c>
      <c r="P989" s="10">
        <v>553099.03388449387</v>
      </c>
    </row>
    <row r="990" spans="15:16" x14ac:dyDescent="0.35">
      <c r="O990">
        <v>989</v>
      </c>
      <c r="P990" s="10">
        <v>543139.07317131478</v>
      </c>
    </row>
    <row r="991" spans="15:16" x14ac:dyDescent="0.35">
      <c r="O991">
        <v>990</v>
      </c>
      <c r="P991" s="10">
        <v>557893.48074788926</v>
      </c>
    </row>
    <row r="992" spans="15:16" x14ac:dyDescent="0.35">
      <c r="O992">
        <v>991</v>
      </c>
      <c r="P992" s="10">
        <v>566616.43937495898</v>
      </c>
    </row>
    <row r="993" spans="15:16" x14ac:dyDescent="0.35">
      <c r="O993">
        <v>992</v>
      </c>
      <c r="P993" s="10">
        <v>567579.64514308202</v>
      </c>
    </row>
    <row r="994" spans="15:16" x14ac:dyDescent="0.35">
      <c r="O994">
        <v>993</v>
      </c>
      <c r="P994" s="10">
        <v>565662.12987376365</v>
      </c>
    </row>
    <row r="995" spans="15:16" x14ac:dyDescent="0.35">
      <c r="O995">
        <v>994</v>
      </c>
      <c r="P995" s="10">
        <v>561674.56439841597</v>
      </c>
    </row>
    <row r="996" spans="15:16" x14ac:dyDescent="0.35">
      <c r="O996">
        <v>995</v>
      </c>
      <c r="P996" s="10">
        <v>564661.09791665396</v>
      </c>
    </row>
    <row r="997" spans="15:16" x14ac:dyDescent="0.35">
      <c r="O997">
        <v>996</v>
      </c>
      <c r="P997" s="10">
        <v>579630.28808876965</v>
      </c>
    </row>
    <row r="998" spans="15:16" x14ac:dyDescent="0.35">
      <c r="O998">
        <v>997</v>
      </c>
      <c r="P998" s="10">
        <v>546351.88624006358</v>
      </c>
    </row>
    <row r="999" spans="15:16" x14ac:dyDescent="0.35">
      <c r="O999">
        <v>998</v>
      </c>
      <c r="P999" s="10">
        <v>576296.89736290032</v>
      </c>
    </row>
    <row r="1000" spans="15:16" x14ac:dyDescent="0.35">
      <c r="O1000">
        <v>999</v>
      </c>
      <c r="P1000" s="10">
        <v>544136.82385474001</v>
      </c>
    </row>
    <row r="1001" spans="15:16" x14ac:dyDescent="0.35">
      <c r="O1001">
        <v>1000</v>
      </c>
      <c r="P1001" s="10">
        <v>546634.39580360369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E813-02D4-4A7C-ABAD-2D74A81A2FA5}">
  <dimension ref="A1:J17"/>
  <sheetViews>
    <sheetView showGridLines="0" workbookViewId="0">
      <selection activeCell="J4" sqref="J4:R6"/>
    </sheetView>
  </sheetViews>
  <sheetFormatPr defaultRowHeight="14.5" x14ac:dyDescent="0.35"/>
  <cols>
    <col min="1" max="1" width="2.36328125" customWidth="1"/>
    <col min="2" max="2" width="6.08984375" bestFit="1" customWidth="1"/>
    <col min="3" max="3" width="30" bestFit="1" customWidth="1"/>
    <col min="4" max="4" width="12" bestFit="1" customWidth="1"/>
    <col min="5" max="5" width="12.6328125" bestFit="1" customWidth="1"/>
  </cols>
  <sheetData>
    <row r="1" spans="1:10" x14ac:dyDescent="0.35">
      <c r="A1" s="24" t="s">
        <v>71</v>
      </c>
    </row>
    <row r="2" spans="1:10" x14ac:dyDescent="0.35">
      <c r="A2" s="24" t="s">
        <v>72</v>
      </c>
    </row>
    <row r="3" spans="1:10" x14ac:dyDescent="0.35">
      <c r="A3" s="24" t="s">
        <v>94</v>
      </c>
    </row>
    <row r="6" spans="1:10" ht="15" thickBot="1" x14ac:dyDescent="0.4">
      <c r="A6" t="s">
        <v>73</v>
      </c>
    </row>
    <row r="7" spans="1:10" x14ac:dyDescent="0.35">
      <c r="B7" s="45"/>
      <c r="C7" s="45"/>
      <c r="D7" s="45" t="s">
        <v>76</v>
      </c>
      <c r="E7" s="45" t="s">
        <v>78</v>
      </c>
      <c r="J7" s="88"/>
    </row>
    <row r="8" spans="1:10" ht="15" thickBot="1" x14ac:dyDescent="0.4">
      <c r="B8" s="46" t="s">
        <v>74</v>
      </c>
      <c r="C8" s="46" t="s">
        <v>75</v>
      </c>
      <c r="D8" s="46" t="s">
        <v>77</v>
      </c>
      <c r="E8" s="46" t="s">
        <v>79</v>
      </c>
    </row>
    <row r="9" spans="1:10" x14ac:dyDescent="0.35">
      <c r="B9" s="43" t="s">
        <v>83</v>
      </c>
      <c r="C9" s="43" t="s">
        <v>84</v>
      </c>
      <c r="D9" s="43">
        <v>9.9999999999999992E-2</v>
      </c>
      <c r="E9" s="43">
        <v>-2.0672793545075646E-2</v>
      </c>
    </row>
    <row r="10" spans="1:10" x14ac:dyDescent="0.35">
      <c r="B10" s="43" t="s">
        <v>85</v>
      </c>
      <c r="C10" s="43" t="s">
        <v>86</v>
      </c>
      <c r="D10" s="43">
        <v>0.35000256682430686</v>
      </c>
      <c r="E10" s="43">
        <v>0</v>
      </c>
    </row>
    <row r="11" spans="1:10" ht="15" thickBot="1" x14ac:dyDescent="0.4">
      <c r="B11" s="44" t="s">
        <v>87</v>
      </c>
      <c r="C11" s="44" t="s">
        <v>88</v>
      </c>
      <c r="D11" s="44">
        <v>0.54999743317569316</v>
      </c>
      <c r="E11" s="44">
        <v>0</v>
      </c>
    </row>
    <row r="13" spans="1:10" ht="15" thickBot="1" x14ac:dyDescent="0.4">
      <c r="A13" t="s">
        <v>80</v>
      </c>
    </row>
    <row r="14" spans="1:10" x14ac:dyDescent="0.35">
      <c r="B14" s="45"/>
      <c r="C14" s="45"/>
      <c r="D14" s="45" t="s">
        <v>76</v>
      </c>
      <c r="E14" s="45" t="s">
        <v>81</v>
      </c>
    </row>
    <row r="15" spans="1:10" ht="15" thickBot="1" x14ac:dyDescent="0.4">
      <c r="B15" s="46" t="s">
        <v>74</v>
      </c>
      <c r="C15" s="46" t="s">
        <v>75</v>
      </c>
      <c r="D15" s="46" t="s">
        <v>77</v>
      </c>
      <c r="E15" s="46" t="s">
        <v>82</v>
      </c>
    </row>
    <row r="16" spans="1:10" x14ac:dyDescent="0.35">
      <c r="B16" s="43" t="s">
        <v>89</v>
      </c>
      <c r="C16" s="43" t="s">
        <v>90</v>
      </c>
      <c r="D16" s="43">
        <v>0.11999990152167184</v>
      </c>
      <c r="E16" s="43">
        <v>0.22701975101805982</v>
      </c>
    </row>
    <row r="17" spans="2:5" ht="15" thickBot="1" x14ac:dyDescent="0.4">
      <c r="B17" s="44" t="s">
        <v>91</v>
      </c>
      <c r="C17" s="44" t="s">
        <v>92</v>
      </c>
      <c r="D17" s="44">
        <v>1</v>
      </c>
      <c r="E17" s="44">
        <v>5.7699834235903469E-2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CA7E-F578-4970-9DB8-67F78EA4201A}">
  <dimension ref="C1:W1001"/>
  <sheetViews>
    <sheetView zoomScale="80" zoomScaleNormal="80" workbookViewId="0">
      <selection activeCell="H20" sqref="H20"/>
    </sheetView>
  </sheetViews>
  <sheetFormatPr defaultRowHeight="14.5" x14ac:dyDescent="0.35"/>
  <cols>
    <col min="3" max="3" width="17.453125" customWidth="1"/>
    <col min="7" max="7" width="9.54296875" bestFit="1" customWidth="1"/>
    <col min="9" max="9" width="21.453125" bestFit="1" customWidth="1"/>
    <col min="11" max="11" width="16.81640625" bestFit="1" customWidth="1"/>
    <col min="12" max="12" width="14.08984375" bestFit="1" customWidth="1"/>
    <col min="15" max="15" width="12" bestFit="1" customWidth="1"/>
    <col min="18" max="18" width="10.54296875" bestFit="1" customWidth="1"/>
    <col min="19" max="19" width="11.1796875" bestFit="1" customWidth="1"/>
    <col min="20" max="20" width="9.453125" bestFit="1" customWidth="1"/>
  </cols>
  <sheetData>
    <row r="1" spans="3:23" x14ac:dyDescent="0.35">
      <c r="C1" s="2" t="s">
        <v>0</v>
      </c>
      <c r="D1" s="2">
        <v>30</v>
      </c>
      <c r="E1" s="2"/>
      <c r="F1" s="2"/>
      <c r="G1" s="2"/>
      <c r="H1" s="2"/>
      <c r="I1" s="2"/>
      <c r="J1" s="2"/>
      <c r="K1" s="2"/>
      <c r="L1" s="2"/>
      <c r="N1" t="s">
        <v>27</v>
      </c>
      <c r="O1" t="s">
        <v>30</v>
      </c>
    </row>
    <row r="2" spans="3:23" x14ac:dyDescent="0.35">
      <c r="C2" s="2" t="s">
        <v>1</v>
      </c>
      <c r="D2" s="2">
        <v>67</v>
      </c>
      <c r="E2" s="2" t="s">
        <v>58</v>
      </c>
      <c r="F2" s="2"/>
      <c r="G2" s="2"/>
      <c r="H2" s="2"/>
      <c r="I2" s="2"/>
      <c r="J2" s="2"/>
      <c r="K2" s="23" t="s">
        <v>46</v>
      </c>
      <c r="L2" s="39">
        <f ca="1">L54</f>
        <v>1611115.1414069976</v>
      </c>
      <c r="N2">
        <v>1</v>
      </c>
      <c r="O2" s="10">
        <f ca="1">L2</f>
        <v>1611115.1414069976</v>
      </c>
    </row>
    <row r="3" spans="3:23" x14ac:dyDescent="0.35">
      <c r="C3" s="2" t="s">
        <v>2</v>
      </c>
      <c r="D3" s="2">
        <v>70000</v>
      </c>
      <c r="E3" s="2"/>
      <c r="F3" s="2"/>
      <c r="G3" s="2"/>
      <c r="H3" s="2"/>
      <c r="I3" s="2"/>
      <c r="J3" s="2"/>
      <c r="K3" s="37" t="s">
        <v>45</v>
      </c>
      <c r="L3" s="38">
        <f>'Retirement Capital'!E27</f>
        <v>1454757</v>
      </c>
      <c r="N3">
        <v>2</v>
      </c>
      <c r="O3">
        <f t="dataTable" ref="O3:O1001" dt2D="0" dtr="0" r1="Q4" ca="1"/>
        <v>1578784.141110505</v>
      </c>
    </row>
    <row r="4" spans="3:23" x14ac:dyDescent="0.35">
      <c r="C4" s="2" t="s">
        <v>3</v>
      </c>
      <c r="D4" s="3">
        <v>3.5000000000000003E-2</v>
      </c>
      <c r="E4" s="2"/>
      <c r="F4" s="2"/>
      <c r="G4" s="2" t="s">
        <v>25</v>
      </c>
      <c r="H4" s="2">
        <v>0.7</v>
      </c>
      <c r="I4" s="2"/>
      <c r="J4" s="2"/>
      <c r="K4" s="2" t="s">
        <v>60</v>
      </c>
      <c r="L4" s="41">
        <f ca="1">L2-L3</f>
        <v>156358.14140699757</v>
      </c>
      <c r="N4">
        <v>3</v>
      </c>
      <c r="O4">
        <v>1483740.1959310118</v>
      </c>
      <c r="S4" s="18" t="s">
        <v>69</v>
      </c>
      <c r="T4" s="18" t="s">
        <v>9</v>
      </c>
      <c r="U4" s="18" t="s">
        <v>10</v>
      </c>
      <c r="V4" s="18" t="s">
        <v>8</v>
      </c>
    </row>
    <row r="5" spans="3:23" x14ac:dyDescent="0.35">
      <c r="C5" s="2" t="s">
        <v>4</v>
      </c>
      <c r="D5" s="4">
        <v>0.1</v>
      </c>
      <c r="E5" s="4"/>
      <c r="F5" s="4"/>
      <c r="G5" s="2"/>
      <c r="H5" s="2"/>
      <c r="I5" s="2"/>
      <c r="J5" s="2"/>
      <c r="K5" s="24" t="s">
        <v>47</v>
      </c>
      <c r="L5" s="10">
        <f ca="1">AVERAGE(O2:O1001)</f>
        <v>1544067.8000567702</v>
      </c>
      <c r="N5">
        <v>4</v>
      </c>
      <c r="O5">
        <v>1547411.4710536909</v>
      </c>
      <c r="S5" s="19" t="s">
        <v>11</v>
      </c>
      <c r="T5" s="21">
        <v>3.7499999999999999E-2</v>
      </c>
      <c r="U5" s="21">
        <v>0.05</v>
      </c>
      <c r="V5" s="8">
        <v>9.9999999999999992E-2</v>
      </c>
    </row>
    <row r="6" spans="3:23" x14ac:dyDescent="0.35">
      <c r="C6" s="2" t="s">
        <v>5</v>
      </c>
      <c r="D6" s="4">
        <v>0.03</v>
      </c>
      <c r="E6" s="2"/>
      <c r="F6" s="2"/>
      <c r="G6" s="2"/>
      <c r="H6" s="2"/>
      <c r="I6" s="2"/>
      <c r="J6" s="2"/>
      <c r="K6" s="2"/>
      <c r="L6" s="2"/>
      <c r="N6">
        <v>5</v>
      </c>
      <c r="O6">
        <v>1576548.8081143273</v>
      </c>
      <c r="S6" s="19" t="s">
        <v>13</v>
      </c>
      <c r="T6" s="21">
        <v>6.5000000000000002E-2</v>
      </c>
      <c r="U6" s="21">
        <v>0.105</v>
      </c>
      <c r="V6" s="8">
        <v>0.35000256682430686</v>
      </c>
    </row>
    <row r="7" spans="3:23" x14ac:dyDescent="0.35">
      <c r="C7" s="2" t="s">
        <v>6</v>
      </c>
      <c r="D7" s="4">
        <v>0.02</v>
      </c>
      <c r="E7" s="2"/>
      <c r="F7" s="2"/>
      <c r="G7" s="2"/>
      <c r="H7" s="2"/>
      <c r="I7" s="2"/>
      <c r="J7" s="2"/>
      <c r="K7" s="2"/>
      <c r="L7" s="2"/>
      <c r="N7">
        <v>6</v>
      </c>
      <c r="O7">
        <v>1472200.6204802673</v>
      </c>
      <c r="S7" s="19" t="s">
        <v>15</v>
      </c>
      <c r="T7" s="21">
        <v>0.10249999999999999</v>
      </c>
      <c r="U7" s="21">
        <v>0.20749999999999999</v>
      </c>
      <c r="V7" s="8">
        <v>0.54999743317569316</v>
      </c>
    </row>
    <row r="8" spans="3:23" x14ac:dyDescent="0.35">
      <c r="C8" s="2" t="s">
        <v>7</v>
      </c>
      <c r="D8" s="2">
        <f>D2-D1</f>
        <v>37</v>
      </c>
      <c r="E8" s="2"/>
      <c r="F8" s="2"/>
      <c r="G8" s="2"/>
      <c r="H8" s="2"/>
      <c r="I8" s="2"/>
      <c r="J8" s="2"/>
      <c r="K8" s="2"/>
      <c r="L8" s="2"/>
      <c r="N8">
        <v>7</v>
      </c>
      <c r="O8">
        <v>1537070.9118118214</v>
      </c>
      <c r="V8" s="8">
        <f>SUM(V5:V7)</f>
        <v>1</v>
      </c>
    </row>
    <row r="9" spans="3:23" x14ac:dyDescent="0.35">
      <c r="C9" s="2"/>
      <c r="D9" s="2"/>
      <c r="E9" s="2"/>
      <c r="F9" s="2"/>
      <c r="G9" s="2"/>
      <c r="H9" s="2"/>
      <c r="I9" s="2"/>
      <c r="J9" s="2"/>
      <c r="K9" s="2"/>
      <c r="L9" s="2"/>
      <c r="N9">
        <v>8</v>
      </c>
      <c r="O9">
        <v>1482887.3380910137</v>
      </c>
      <c r="V9" s="13">
        <f>(V5*T5)+(V6*T6)+(V7*T7)</f>
        <v>8.2874903744088485E-2</v>
      </c>
      <c r="W9" t="s">
        <v>70</v>
      </c>
    </row>
    <row r="10" spans="3:23" x14ac:dyDescent="0.35">
      <c r="C10" s="17"/>
      <c r="D10" s="18" t="s">
        <v>8</v>
      </c>
      <c r="E10" s="18" t="s">
        <v>9</v>
      </c>
      <c r="F10" s="18" t="s">
        <v>10</v>
      </c>
      <c r="H10" s="2"/>
      <c r="I10" s="2"/>
      <c r="J10" s="2"/>
      <c r="K10" s="2"/>
      <c r="L10" s="2"/>
      <c r="N10">
        <v>9</v>
      </c>
      <c r="O10">
        <v>1542322.3911878569</v>
      </c>
    </row>
    <row r="11" spans="3:23" x14ac:dyDescent="0.35">
      <c r="C11" s="19" t="s">
        <v>11</v>
      </c>
      <c r="D11" s="20">
        <v>0.1</v>
      </c>
      <c r="E11" s="21">
        <v>3.7499999999999999E-2</v>
      </c>
      <c r="F11" s="21">
        <v>0.05</v>
      </c>
      <c r="H11" s="2"/>
      <c r="I11" s="2" t="s">
        <v>12</v>
      </c>
      <c r="J11" s="3">
        <v>8.2900000000000001E-2</v>
      </c>
      <c r="K11" s="2"/>
      <c r="L11" s="2"/>
      <c r="N11">
        <v>10</v>
      </c>
      <c r="O11">
        <v>1563779.8564632828</v>
      </c>
      <c r="V11" s="8">
        <f>SQRT((V5*5%)^2+(V6*10.5%)^2+(V7*20.75%)^2)</f>
        <v>0.11999990152167184</v>
      </c>
      <c r="W11" t="s">
        <v>10</v>
      </c>
    </row>
    <row r="12" spans="3:23" x14ac:dyDescent="0.35">
      <c r="C12" s="19" t="s">
        <v>13</v>
      </c>
      <c r="D12" s="20">
        <v>0.35</v>
      </c>
      <c r="E12" s="21">
        <v>6.5000000000000002E-2</v>
      </c>
      <c r="F12" s="21">
        <v>0.105</v>
      </c>
      <c r="H12" s="2"/>
      <c r="I12" s="2" t="s">
        <v>14</v>
      </c>
      <c r="J12" s="22">
        <v>0.12</v>
      </c>
      <c r="K12" s="2"/>
      <c r="L12" s="2"/>
      <c r="N12">
        <v>11</v>
      </c>
      <c r="O12">
        <v>1610974.7242093079</v>
      </c>
    </row>
    <row r="13" spans="3:23" x14ac:dyDescent="0.35">
      <c r="C13" s="19" t="s">
        <v>15</v>
      </c>
      <c r="D13" s="20">
        <v>0.55000000000000004</v>
      </c>
      <c r="E13" s="21">
        <v>0.10249999999999999</v>
      </c>
      <c r="F13" s="21">
        <v>0.20749999999999999</v>
      </c>
      <c r="H13" s="2"/>
      <c r="I13" s="2"/>
      <c r="J13" s="2"/>
      <c r="K13" s="2"/>
      <c r="L13" s="2"/>
      <c r="N13">
        <v>12</v>
      </c>
      <c r="O13">
        <v>1569964.803875772</v>
      </c>
    </row>
    <row r="14" spans="3:23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N14">
        <v>13</v>
      </c>
      <c r="O14">
        <v>1541722.6466984665</v>
      </c>
    </row>
    <row r="15" spans="3:23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N15">
        <v>14</v>
      </c>
      <c r="O15">
        <v>1555578.9104746017</v>
      </c>
    </row>
    <row r="16" spans="3:23" x14ac:dyDescent="0.35">
      <c r="C16" s="2"/>
      <c r="D16" s="6" t="s">
        <v>16</v>
      </c>
      <c r="E16" s="5" t="s">
        <v>17</v>
      </c>
      <c r="F16" s="5" t="s">
        <v>26</v>
      </c>
      <c r="G16" s="5" t="s">
        <v>18</v>
      </c>
      <c r="H16" s="5" t="s">
        <v>19</v>
      </c>
      <c r="I16" s="5" t="s">
        <v>20</v>
      </c>
      <c r="J16" s="5" t="s">
        <v>21</v>
      </c>
      <c r="K16" s="5" t="s">
        <v>23</v>
      </c>
      <c r="L16" s="5" t="s">
        <v>24</v>
      </c>
      <c r="N16">
        <v>15</v>
      </c>
      <c r="O16">
        <v>1558664.986161768</v>
      </c>
    </row>
    <row r="17" spans="3:15" x14ac:dyDescent="0.35">
      <c r="C17" s="2"/>
      <c r="D17" s="2">
        <v>1</v>
      </c>
      <c r="E17" s="2">
        <v>30</v>
      </c>
      <c r="F17" s="11">
        <f ca="1">_xlfn.NORM.INV(RAND(),0.035,0.007)</f>
        <v>5.3570145887492572E-2</v>
      </c>
      <c r="G17" s="12">
        <v>70000</v>
      </c>
      <c r="H17" s="12">
        <f>G17*$D$5</f>
        <v>7000</v>
      </c>
      <c r="I17" s="12">
        <f>G17*$D$6</f>
        <v>2100</v>
      </c>
      <c r="J17" s="12">
        <f>H17+I17</f>
        <v>9100</v>
      </c>
      <c r="K17" s="2">
        <v>0</v>
      </c>
      <c r="L17" s="12">
        <f>J17+K17</f>
        <v>9100</v>
      </c>
      <c r="N17">
        <v>16</v>
      </c>
      <c r="O17">
        <v>1567886.9769628441</v>
      </c>
    </row>
    <row r="18" spans="3:15" x14ac:dyDescent="0.35">
      <c r="C18" s="2"/>
      <c r="D18" s="2">
        <v>2</v>
      </c>
      <c r="E18" s="2">
        <f>E17+1</f>
        <v>31</v>
      </c>
      <c r="F18" s="11">
        <f t="shared" ref="F18:F54" ca="1" si="0">_xlfn.NORM.INV(RAND(),0.035,0.007)</f>
        <v>4.7174988398956841E-2</v>
      </c>
      <c r="G18" s="12">
        <f ca="1">G17*(1+F18)</f>
        <v>73302.24918792698</v>
      </c>
      <c r="H18" s="12">
        <f t="shared" ref="H18:H54" ca="1" si="1">G18*$D$5</f>
        <v>7330.2249187926982</v>
      </c>
      <c r="I18" s="12">
        <f t="shared" ref="I18:I51" ca="1" si="2">G18*$D$6</f>
        <v>2199.0674756378094</v>
      </c>
      <c r="J18" s="12">
        <f t="shared" ref="J18:J51" ca="1" si="3">H18+I18</f>
        <v>9529.2923944305076</v>
      </c>
      <c r="K18" s="12">
        <f t="shared" ref="K18:K51" si="4">(J17*$J$11)+K17</f>
        <v>754.39</v>
      </c>
      <c r="L18" s="12">
        <f t="shared" ref="L18:L51" ca="1" si="5">J18+K18+L17</f>
        <v>19383.682394430507</v>
      </c>
      <c r="N18">
        <v>17</v>
      </c>
      <c r="O18">
        <v>1512027.0719773853</v>
      </c>
    </row>
    <row r="19" spans="3:15" x14ac:dyDescent="0.35">
      <c r="C19" s="2"/>
      <c r="D19" s="2">
        <v>3</v>
      </c>
      <c r="E19" s="2">
        <f t="shared" ref="E19:E54" si="6">E18+1</f>
        <v>32</v>
      </c>
      <c r="F19" s="11">
        <f t="shared" ca="1" si="0"/>
        <v>3.4329919069593179E-2</v>
      </c>
      <c r="G19" s="12">
        <f t="shared" ref="G19:G51" ca="1" si="7">G18*(1+F19)</f>
        <v>75818.709470167669</v>
      </c>
      <c r="H19" s="12">
        <f t="shared" ca="1" si="1"/>
        <v>7581.8709470167669</v>
      </c>
      <c r="I19" s="12">
        <f t="shared" ca="1" si="2"/>
        <v>2274.5612841050302</v>
      </c>
      <c r="J19" s="12">
        <f t="shared" ca="1" si="3"/>
        <v>9856.4322311217966</v>
      </c>
      <c r="K19" s="12">
        <f t="shared" ca="1" si="4"/>
        <v>1544.3683394982891</v>
      </c>
      <c r="L19" s="12">
        <f t="shared" ca="1" si="5"/>
        <v>30784.482965050593</v>
      </c>
      <c r="N19">
        <v>18</v>
      </c>
      <c r="O19">
        <v>1494686.9020002859</v>
      </c>
    </row>
    <row r="20" spans="3:15" x14ac:dyDescent="0.35">
      <c r="C20" s="2"/>
      <c r="D20" s="2">
        <v>4</v>
      </c>
      <c r="E20" s="2">
        <f t="shared" si="6"/>
        <v>33</v>
      </c>
      <c r="F20" s="11">
        <f t="shared" ca="1" si="0"/>
        <v>3.4022102855297852E-2</v>
      </c>
      <c r="G20" s="12">
        <f t="shared" ca="1" si="7"/>
        <v>78398.221402117662</v>
      </c>
      <c r="H20" s="12">
        <f t="shared" ca="1" si="1"/>
        <v>7839.822140211767</v>
      </c>
      <c r="I20" s="12">
        <f t="shared" ca="1" si="2"/>
        <v>2351.9466420635299</v>
      </c>
      <c r="J20" s="12">
        <f t="shared" ca="1" si="3"/>
        <v>10191.768782275296</v>
      </c>
      <c r="K20" s="12">
        <f t="shared" ca="1" si="4"/>
        <v>2361.4665714582861</v>
      </c>
      <c r="L20" s="12">
        <f t="shared" ca="1" si="5"/>
        <v>43337.718318784173</v>
      </c>
      <c r="N20">
        <v>19</v>
      </c>
      <c r="O20">
        <v>1514084.4009016256</v>
      </c>
    </row>
    <row r="21" spans="3:15" x14ac:dyDescent="0.35">
      <c r="C21" s="2"/>
      <c r="D21" s="2">
        <v>5</v>
      </c>
      <c r="E21" s="2">
        <f t="shared" si="6"/>
        <v>34</v>
      </c>
      <c r="F21" s="11">
        <f t="shared" ca="1" si="0"/>
        <v>4.9867350421838576E-2</v>
      </c>
      <c r="G21" s="12">
        <f t="shared" ca="1" si="7"/>
        <v>82307.732981225941</v>
      </c>
      <c r="H21" s="12">
        <f t="shared" ca="1" si="1"/>
        <v>8230.7732981225945</v>
      </c>
      <c r="I21" s="12">
        <f t="shared" ca="1" si="2"/>
        <v>2469.2319894367783</v>
      </c>
      <c r="J21" s="12">
        <f t="shared" ca="1" si="3"/>
        <v>10700.005287559372</v>
      </c>
      <c r="K21" s="12">
        <f t="shared" ca="1" si="4"/>
        <v>3206.3642035089083</v>
      </c>
      <c r="L21" s="12">
        <f t="shared" ca="1" si="5"/>
        <v>57244.087809852455</v>
      </c>
      <c r="N21">
        <v>20</v>
      </c>
      <c r="O21">
        <v>1489556.0041020601</v>
      </c>
    </row>
    <row r="22" spans="3:15" x14ac:dyDescent="0.35">
      <c r="C22" s="2"/>
      <c r="D22" s="2">
        <v>6</v>
      </c>
      <c r="E22" s="2">
        <f t="shared" si="6"/>
        <v>35</v>
      </c>
      <c r="F22" s="11">
        <f t="shared" ca="1" si="0"/>
        <v>3.937157585180813E-2</v>
      </c>
      <c r="G22" s="12">
        <f t="shared" ca="1" si="7"/>
        <v>85548.318133486639</v>
      </c>
      <c r="H22" s="12">
        <f t="shared" ca="1" si="1"/>
        <v>8554.8318133486646</v>
      </c>
      <c r="I22" s="12">
        <f t="shared" ca="1" si="2"/>
        <v>2566.4495440045989</v>
      </c>
      <c r="J22" s="12">
        <f t="shared" ca="1" si="3"/>
        <v>11121.281357353264</v>
      </c>
      <c r="K22" s="12">
        <f t="shared" ca="1" si="4"/>
        <v>4093.3946418475803</v>
      </c>
      <c r="L22" s="12">
        <f t="shared" ca="1" si="5"/>
        <v>72458.7638090533</v>
      </c>
      <c r="N22">
        <v>21</v>
      </c>
      <c r="O22">
        <v>1502077.5966097328</v>
      </c>
    </row>
    <row r="23" spans="3:15" x14ac:dyDescent="0.35">
      <c r="C23" s="2"/>
      <c r="D23" s="2">
        <v>7</v>
      </c>
      <c r="E23" s="2">
        <f t="shared" si="6"/>
        <v>36</v>
      </c>
      <c r="F23" s="11">
        <f t="shared" ca="1" si="0"/>
        <v>4.2873109231269128E-2</v>
      </c>
      <c r="G23" s="12">
        <f t="shared" ca="1" si="7"/>
        <v>89216.040521374962</v>
      </c>
      <c r="H23" s="12">
        <f t="shared" ca="1" si="1"/>
        <v>8921.6040521374962</v>
      </c>
      <c r="I23" s="12">
        <f t="shared" ca="1" si="2"/>
        <v>2676.4812156412486</v>
      </c>
      <c r="J23" s="12">
        <f t="shared" ca="1" si="3"/>
        <v>11598.085267778744</v>
      </c>
      <c r="K23" s="12">
        <f t="shared" ca="1" si="4"/>
        <v>5015.3488663721655</v>
      </c>
      <c r="L23" s="12">
        <f t="shared" ca="1" si="5"/>
        <v>89072.197943204214</v>
      </c>
      <c r="N23">
        <v>22</v>
      </c>
      <c r="O23">
        <v>1606982.696415025</v>
      </c>
    </row>
    <row r="24" spans="3:15" x14ac:dyDescent="0.35">
      <c r="C24" s="2"/>
      <c r="D24" s="2">
        <v>8</v>
      </c>
      <c r="E24" s="2">
        <f t="shared" si="6"/>
        <v>37</v>
      </c>
      <c r="F24" s="11">
        <f t="shared" ca="1" si="0"/>
        <v>2.1614339428439128E-2</v>
      </c>
      <c r="G24" s="12">
        <f t="shared" ca="1" si="7"/>
        <v>91144.386303665349</v>
      </c>
      <c r="H24" s="12">
        <f t="shared" ca="1" si="1"/>
        <v>9114.438630366536</v>
      </c>
      <c r="I24" s="12">
        <f t="shared" ca="1" si="2"/>
        <v>2734.3315891099605</v>
      </c>
      <c r="J24" s="12">
        <f t="shared" ca="1" si="3"/>
        <v>11848.770219476497</v>
      </c>
      <c r="K24" s="12">
        <f t="shared" ca="1" si="4"/>
        <v>5976.8301350710235</v>
      </c>
      <c r="L24" s="12">
        <f t="shared" ca="1" si="5"/>
        <v>106897.79829775174</v>
      </c>
      <c r="N24">
        <v>23</v>
      </c>
      <c r="O24">
        <v>1634436.7173907484</v>
      </c>
    </row>
    <row r="25" spans="3:15" x14ac:dyDescent="0.35">
      <c r="C25" s="2"/>
      <c r="D25" s="2">
        <v>9</v>
      </c>
      <c r="E25" s="2">
        <f t="shared" si="6"/>
        <v>38</v>
      </c>
      <c r="F25" s="11">
        <f t="shared" ca="1" si="0"/>
        <v>3.5072523967043974E-2</v>
      </c>
      <c r="G25" s="12">
        <f t="shared" ca="1" si="7"/>
        <v>94341.049976762166</v>
      </c>
      <c r="H25" s="12">
        <f t="shared" ca="1" si="1"/>
        <v>9434.104997676217</v>
      </c>
      <c r="I25" s="12">
        <f t="shared" ca="1" si="2"/>
        <v>2830.2314993028649</v>
      </c>
      <c r="J25" s="12">
        <f t="shared" ca="1" si="3"/>
        <v>12264.336496979082</v>
      </c>
      <c r="K25" s="12">
        <f t="shared" ca="1" si="4"/>
        <v>6959.0931862656253</v>
      </c>
      <c r="L25" s="12">
        <f t="shared" ca="1" si="5"/>
        <v>126121.22798099645</v>
      </c>
      <c r="N25">
        <v>24</v>
      </c>
      <c r="O25">
        <v>1574567.3693804001</v>
      </c>
    </row>
    <row r="26" spans="3:15" x14ac:dyDescent="0.35">
      <c r="C26" s="2"/>
      <c r="D26" s="2">
        <v>10</v>
      </c>
      <c r="E26" s="2">
        <f t="shared" si="6"/>
        <v>39</v>
      </c>
      <c r="F26" s="11">
        <f t="shared" ca="1" si="0"/>
        <v>4.7142968714183532E-2</v>
      </c>
      <c r="G26" s="12">
        <f t="shared" ca="1" si="7"/>
        <v>98788.567144279892</v>
      </c>
      <c r="H26" s="12">
        <f t="shared" ca="1" si="1"/>
        <v>9878.8567144279896</v>
      </c>
      <c r="I26" s="12">
        <f t="shared" ca="1" si="2"/>
        <v>2963.6570143283966</v>
      </c>
      <c r="J26" s="12">
        <f t="shared" ca="1" si="3"/>
        <v>12842.513728756387</v>
      </c>
      <c r="K26" s="12">
        <f t="shared" ca="1" si="4"/>
        <v>7975.8066818651914</v>
      </c>
      <c r="L26" s="12">
        <f t="shared" ca="1" si="5"/>
        <v>146939.54839161804</v>
      </c>
      <c r="N26">
        <v>25</v>
      </c>
      <c r="O26">
        <v>1521440.2669853196</v>
      </c>
    </row>
    <row r="27" spans="3:15" x14ac:dyDescent="0.35">
      <c r="C27" s="2"/>
      <c r="D27" s="2">
        <v>11</v>
      </c>
      <c r="E27" s="2">
        <f t="shared" si="6"/>
        <v>40</v>
      </c>
      <c r="F27" s="11">
        <f t="shared" ca="1" si="0"/>
        <v>2.9216520938747284E-2</v>
      </c>
      <c r="G27" s="12">
        <f t="shared" ca="1" si="7"/>
        <v>101674.82538475959</v>
      </c>
      <c r="H27" s="12">
        <f t="shared" ca="1" si="1"/>
        <v>10167.482538475961</v>
      </c>
      <c r="I27" s="12">
        <f t="shared" ca="1" si="2"/>
        <v>3050.2447615427877</v>
      </c>
      <c r="J27" s="12">
        <f t="shared" ca="1" si="3"/>
        <v>13217.727300018749</v>
      </c>
      <c r="K27" s="12">
        <f t="shared" ca="1" si="4"/>
        <v>9040.4510699790953</v>
      </c>
      <c r="L27" s="12">
        <f t="shared" ca="1" si="5"/>
        <v>169197.72676161589</v>
      </c>
      <c r="N27">
        <v>26</v>
      </c>
      <c r="O27">
        <v>1525451.2713089124</v>
      </c>
    </row>
    <row r="28" spans="3:15" x14ac:dyDescent="0.35">
      <c r="C28" s="2"/>
      <c r="D28" s="2">
        <v>12</v>
      </c>
      <c r="E28" s="2">
        <f t="shared" si="6"/>
        <v>41</v>
      </c>
      <c r="F28" s="11">
        <f t="shared" ca="1" si="0"/>
        <v>3.7904934204270747E-2</v>
      </c>
      <c r="G28" s="12">
        <f t="shared" ca="1" si="7"/>
        <v>105528.80295119963</v>
      </c>
      <c r="H28" s="12">
        <f t="shared" ca="1" si="1"/>
        <v>10552.880295119963</v>
      </c>
      <c r="I28" s="12">
        <f t="shared" ca="1" si="2"/>
        <v>3165.8640885359887</v>
      </c>
      <c r="J28" s="12">
        <f t="shared" ca="1" si="3"/>
        <v>13718.744383655952</v>
      </c>
      <c r="K28" s="12">
        <f t="shared" ca="1" si="4"/>
        <v>10136.20066315065</v>
      </c>
      <c r="L28" s="12">
        <f t="shared" ca="1" si="5"/>
        <v>193052.67180842248</v>
      </c>
      <c r="N28">
        <v>27</v>
      </c>
      <c r="O28">
        <v>1507466.6809313498</v>
      </c>
    </row>
    <row r="29" spans="3:15" x14ac:dyDescent="0.35">
      <c r="C29" s="2"/>
      <c r="D29" s="2">
        <v>13</v>
      </c>
      <c r="E29" s="2">
        <f t="shared" si="6"/>
        <v>42</v>
      </c>
      <c r="F29" s="11">
        <f t="shared" ca="1" si="0"/>
        <v>4.0958633056550973E-2</v>
      </c>
      <c r="G29" s="12">
        <f t="shared" ca="1" si="7"/>
        <v>109851.11846817489</v>
      </c>
      <c r="H29" s="12">
        <f t="shared" ca="1" si="1"/>
        <v>10985.11184681749</v>
      </c>
      <c r="I29" s="12">
        <f t="shared" ca="1" si="2"/>
        <v>3295.5335540452465</v>
      </c>
      <c r="J29" s="12">
        <f t="shared" ca="1" si="3"/>
        <v>14280.645400862737</v>
      </c>
      <c r="K29" s="12">
        <f t="shared" ca="1" si="4"/>
        <v>11273.484572555728</v>
      </c>
      <c r="L29" s="12">
        <f t="shared" ca="1" si="5"/>
        <v>218606.80178184094</v>
      </c>
      <c r="N29">
        <v>28</v>
      </c>
      <c r="O29">
        <v>1470444.9452866919</v>
      </c>
    </row>
    <row r="30" spans="3:15" x14ac:dyDescent="0.35">
      <c r="C30" s="2"/>
      <c r="D30" s="2">
        <v>14</v>
      </c>
      <c r="E30" s="2">
        <f t="shared" si="6"/>
        <v>43</v>
      </c>
      <c r="F30" s="11">
        <f t="shared" ca="1" si="0"/>
        <v>2.8488399716305721E-2</v>
      </c>
      <c r="G30" s="12">
        <f t="shared" ca="1" si="7"/>
        <v>112980.60104037949</v>
      </c>
      <c r="H30" s="12">
        <f t="shared" ca="1" si="1"/>
        <v>11298.06010403795</v>
      </c>
      <c r="I30" s="12">
        <f t="shared" ca="1" si="2"/>
        <v>3389.4180312113845</v>
      </c>
      <c r="J30" s="12">
        <f t="shared" ca="1" si="3"/>
        <v>14687.478135249334</v>
      </c>
      <c r="K30" s="12">
        <f t="shared" ca="1" si="4"/>
        <v>12457.350076287248</v>
      </c>
      <c r="L30" s="12">
        <f t="shared" ca="1" si="5"/>
        <v>245751.62999337752</v>
      </c>
      <c r="N30">
        <v>29</v>
      </c>
      <c r="O30">
        <v>1564562.5767078844</v>
      </c>
    </row>
    <row r="31" spans="3:15" x14ac:dyDescent="0.35">
      <c r="C31" s="2"/>
      <c r="D31" s="2">
        <v>15</v>
      </c>
      <c r="E31" s="2">
        <f t="shared" si="6"/>
        <v>44</v>
      </c>
      <c r="F31" s="11">
        <f t="shared" ca="1" si="0"/>
        <v>3.7849003242887445E-2</v>
      </c>
      <c r="G31" s="12">
        <f t="shared" ca="1" si="7"/>
        <v>117256.80417554019</v>
      </c>
      <c r="H31" s="12">
        <f t="shared" ca="1" si="1"/>
        <v>11725.68041755402</v>
      </c>
      <c r="I31" s="12">
        <f t="shared" ca="1" si="2"/>
        <v>3517.7041252662057</v>
      </c>
      <c r="J31" s="12">
        <f t="shared" ca="1" si="3"/>
        <v>15243.384542820226</v>
      </c>
      <c r="K31" s="12">
        <f t="shared" ca="1" si="4"/>
        <v>13674.942013699418</v>
      </c>
      <c r="L31" s="12">
        <f t="shared" ca="1" si="5"/>
        <v>274669.95654989715</v>
      </c>
      <c r="N31">
        <v>30</v>
      </c>
      <c r="O31">
        <v>1484487.2605350039</v>
      </c>
    </row>
    <row r="32" spans="3:15" x14ac:dyDescent="0.35">
      <c r="C32" s="2"/>
      <c r="D32" s="2">
        <v>16</v>
      </c>
      <c r="E32" s="2">
        <f t="shared" si="6"/>
        <v>45</v>
      </c>
      <c r="F32" s="11">
        <f t="shared" ca="1" si="0"/>
        <v>2.6705636645513814E-2</v>
      </c>
      <c r="G32" s="12">
        <f t="shared" ca="1" si="7"/>
        <v>120388.22178206634</v>
      </c>
      <c r="H32" s="12">
        <f t="shared" ca="1" si="1"/>
        <v>12038.822178206634</v>
      </c>
      <c r="I32" s="12">
        <f t="shared" ca="1" si="2"/>
        <v>3611.6466534619899</v>
      </c>
      <c r="J32" s="12">
        <f t="shared" ca="1" si="3"/>
        <v>15650.468831668624</v>
      </c>
      <c r="K32" s="12">
        <f t="shared" ca="1" si="4"/>
        <v>14938.618592299215</v>
      </c>
      <c r="L32" s="12">
        <f t="shared" ca="1" si="5"/>
        <v>305259.04397386499</v>
      </c>
      <c r="N32">
        <v>31</v>
      </c>
      <c r="O32">
        <v>1585447.036685732</v>
      </c>
    </row>
    <row r="33" spans="3:15" x14ac:dyDescent="0.35">
      <c r="C33" s="2"/>
      <c r="D33" s="2">
        <v>17</v>
      </c>
      <c r="E33" s="2">
        <f t="shared" si="6"/>
        <v>46</v>
      </c>
      <c r="F33" s="11">
        <f t="shared" ca="1" si="0"/>
        <v>3.5421249171687111E-2</v>
      </c>
      <c r="G33" s="12">
        <f t="shared" ca="1" si="7"/>
        <v>124652.52298314525</v>
      </c>
      <c r="H33" s="12">
        <f t="shared" ca="1" si="1"/>
        <v>12465.252298314525</v>
      </c>
      <c r="I33" s="12">
        <f t="shared" ca="1" si="2"/>
        <v>3739.575689494357</v>
      </c>
      <c r="J33" s="12">
        <f t="shared" ca="1" si="3"/>
        <v>16204.827987808882</v>
      </c>
      <c r="K33" s="12">
        <f t="shared" ca="1" si="4"/>
        <v>16236.042458444545</v>
      </c>
      <c r="L33" s="12">
        <f t="shared" ca="1" si="5"/>
        <v>337699.91442011844</v>
      </c>
      <c r="N33">
        <v>32</v>
      </c>
      <c r="O33">
        <v>1554631.731792904</v>
      </c>
    </row>
    <row r="34" spans="3:15" x14ac:dyDescent="0.35">
      <c r="C34" s="2"/>
      <c r="D34" s="2">
        <v>18</v>
      </c>
      <c r="E34" s="2">
        <f t="shared" si="6"/>
        <v>47</v>
      </c>
      <c r="F34" s="11">
        <f t="shared" ca="1" si="0"/>
        <v>4.6852527157623003E-2</v>
      </c>
      <c r="G34" s="12">
        <f t="shared" ca="1" si="7"/>
        <v>130492.80870147928</v>
      </c>
      <c r="H34" s="12">
        <f t="shared" ca="1" si="1"/>
        <v>13049.28087014793</v>
      </c>
      <c r="I34" s="12">
        <f t="shared" ca="1" si="2"/>
        <v>3914.7842610443786</v>
      </c>
      <c r="J34" s="12">
        <f t="shared" ca="1" si="3"/>
        <v>16964.065131192307</v>
      </c>
      <c r="K34" s="12">
        <f t="shared" ca="1" si="4"/>
        <v>17579.422698633902</v>
      </c>
      <c r="L34" s="12">
        <f t="shared" ca="1" si="5"/>
        <v>372243.40224994463</v>
      </c>
      <c r="N34">
        <v>33</v>
      </c>
      <c r="O34">
        <v>1497075.9755319213</v>
      </c>
    </row>
    <row r="35" spans="3:15" x14ac:dyDescent="0.35">
      <c r="C35" s="2"/>
      <c r="D35" s="2">
        <v>19</v>
      </c>
      <c r="E35" s="2">
        <f t="shared" si="6"/>
        <v>48</v>
      </c>
      <c r="F35" s="11">
        <f t="shared" ca="1" si="0"/>
        <v>2.8545022433404892E-2</v>
      </c>
      <c r="G35" s="12">
        <f t="shared" ca="1" si="7"/>
        <v>134217.72885326104</v>
      </c>
      <c r="H35" s="12">
        <f t="shared" ca="1" si="1"/>
        <v>13421.772885326105</v>
      </c>
      <c r="I35" s="12">
        <f t="shared" ca="1" si="2"/>
        <v>4026.5318655978313</v>
      </c>
      <c r="J35" s="12">
        <f t="shared" ca="1" si="3"/>
        <v>17448.304750923937</v>
      </c>
      <c r="K35" s="12">
        <f t="shared" ca="1" si="4"/>
        <v>18985.743698009745</v>
      </c>
      <c r="L35" s="12">
        <f t="shared" ca="1" si="5"/>
        <v>408677.45069887833</v>
      </c>
      <c r="N35">
        <v>34</v>
      </c>
      <c r="O35">
        <v>1558571.007934436</v>
      </c>
    </row>
    <row r="36" spans="3:15" x14ac:dyDescent="0.35">
      <c r="C36" s="2"/>
      <c r="D36" s="2">
        <v>20</v>
      </c>
      <c r="E36" s="2">
        <f t="shared" si="6"/>
        <v>49</v>
      </c>
      <c r="F36" s="11">
        <f t="shared" ca="1" si="0"/>
        <v>4.4005594525363019E-2</v>
      </c>
      <c r="G36" s="12">
        <f t="shared" ca="1" si="7"/>
        <v>140124.05980729277</v>
      </c>
      <c r="H36" s="12">
        <f t="shared" ca="1" si="1"/>
        <v>14012.405980729278</v>
      </c>
      <c r="I36" s="12">
        <f t="shared" ca="1" si="2"/>
        <v>4203.7217942187826</v>
      </c>
      <c r="J36" s="12">
        <f t="shared" ca="1" si="3"/>
        <v>18216.127774948061</v>
      </c>
      <c r="K36" s="12">
        <f t="shared" ca="1" si="4"/>
        <v>20432.208161861337</v>
      </c>
      <c r="L36" s="12">
        <f t="shared" ca="1" si="5"/>
        <v>447325.78663568769</v>
      </c>
      <c r="N36">
        <v>35</v>
      </c>
      <c r="O36">
        <v>1567731.0758734199</v>
      </c>
    </row>
    <row r="37" spans="3:15" x14ac:dyDescent="0.35">
      <c r="C37" s="2"/>
      <c r="D37" s="2">
        <v>21</v>
      </c>
      <c r="E37" s="2">
        <f t="shared" si="6"/>
        <v>50</v>
      </c>
      <c r="F37" s="11">
        <f t="shared" ca="1" si="0"/>
        <v>4.6228844923564334E-2</v>
      </c>
      <c r="G37" s="12">
        <f t="shared" ca="1" si="7"/>
        <v>146601.83323818436</v>
      </c>
      <c r="H37" s="12">
        <f t="shared" ca="1" si="1"/>
        <v>14660.183323818437</v>
      </c>
      <c r="I37" s="12">
        <f t="shared" ca="1" si="2"/>
        <v>4398.0549971455312</v>
      </c>
      <c r="J37" s="12">
        <f t="shared" ca="1" si="3"/>
        <v>19058.238320963967</v>
      </c>
      <c r="K37" s="12">
        <f t="shared" ca="1" si="4"/>
        <v>21942.325154404531</v>
      </c>
      <c r="L37" s="12">
        <f t="shared" ca="1" si="5"/>
        <v>488326.35011105618</v>
      </c>
      <c r="N37">
        <v>36</v>
      </c>
      <c r="O37">
        <v>1511051.6571877203</v>
      </c>
    </row>
    <row r="38" spans="3:15" x14ac:dyDescent="0.35">
      <c r="C38" s="2"/>
      <c r="D38" s="2">
        <v>22</v>
      </c>
      <c r="E38" s="2">
        <f t="shared" si="6"/>
        <v>51</v>
      </c>
      <c r="F38" s="11">
        <f t="shared" ca="1" si="0"/>
        <v>3.5166688981962187E-2</v>
      </c>
      <c r="G38" s="12">
        <f t="shared" ca="1" si="7"/>
        <v>151757.33431185709</v>
      </c>
      <c r="H38" s="12">
        <f t="shared" ca="1" si="1"/>
        <v>15175.73343118571</v>
      </c>
      <c r="I38" s="12">
        <f t="shared" ca="1" si="2"/>
        <v>4552.7200293557125</v>
      </c>
      <c r="J38" s="12">
        <f t="shared" ca="1" si="3"/>
        <v>19728.453460541423</v>
      </c>
      <c r="K38" s="12">
        <f t="shared" ca="1" si="4"/>
        <v>23522.253111212442</v>
      </c>
      <c r="L38" s="12">
        <f t="shared" ca="1" si="5"/>
        <v>531577.05668281007</v>
      </c>
      <c r="N38">
        <v>37</v>
      </c>
      <c r="O38">
        <v>1597113.8433967007</v>
      </c>
    </row>
    <row r="39" spans="3:15" x14ac:dyDescent="0.35">
      <c r="C39" s="2"/>
      <c r="D39" s="2">
        <v>23</v>
      </c>
      <c r="E39" s="2">
        <f t="shared" si="6"/>
        <v>52</v>
      </c>
      <c r="F39" s="11">
        <f t="shared" ca="1" si="0"/>
        <v>3.8202208913371144E-2</v>
      </c>
      <c r="G39" s="12">
        <f t="shared" ca="1" si="7"/>
        <v>157554.79970137496</v>
      </c>
      <c r="H39" s="12">
        <f t="shared" ca="1" si="1"/>
        <v>15755.479970137496</v>
      </c>
      <c r="I39" s="12">
        <f t="shared" ca="1" si="2"/>
        <v>4726.6439910412482</v>
      </c>
      <c r="J39" s="12">
        <f t="shared" ca="1" si="3"/>
        <v>20482.123961178746</v>
      </c>
      <c r="K39" s="12">
        <f t="shared" ca="1" si="4"/>
        <v>25157.741903091326</v>
      </c>
      <c r="L39" s="12">
        <f t="shared" ca="1" si="5"/>
        <v>577216.92254708009</v>
      </c>
      <c r="N39">
        <v>38</v>
      </c>
      <c r="O39">
        <v>1530963.0261736752</v>
      </c>
    </row>
    <row r="40" spans="3:15" x14ac:dyDescent="0.35">
      <c r="C40" s="2"/>
      <c r="D40" s="2">
        <v>24</v>
      </c>
      <c r="E40" s="2">
        <f t="shared" si="6"/>
        <v>53</v>
      </c>
      <c r="F40" s="11">
        <f t="shared" ca="1" si="0"/>
        <v>4.0725429369773074E-2</v>
      </c>
      <c r="G40" s="12">
        <f t="shared" ca="1" si="7"/>
        <v>163971.28656848203</v>
      </c>
      <c r="H40" s="12">
        <f t="shared" ca="1" si="1"/>
        <v>16397.128656848203</v>
      </c>
      <c r="I40" s="12">
        <f t="shared" ca="1" si="2"/>
        <v>4919.1385970544607</v>
      </c>
      <c r="J40" s="12">
        <f t="shared" ca="1" si="3"/>
        <v>21316.267253902664</v>
      </c>
      <c r="K40" s="12">
        <f t="shared" ca="1" si="4"/>
        <v>26855.709979473046</v>
      </c>
      <c r="L40" s="12">
        <f t="shared" ca="1" si="5"/>
        <v>625388.89978045574</v>
      </c>
      <c r="N40">
        <v>39</v>
      </c>
      <c r="O40">
        <v>1567357.4174981981</v>
      </c>
    </row>
    <row r="41" spans="3:15" x14ac:dyDescent="0.35">
      <c r="C41" s="2"/>
      <c r="D41" s="2">
        <v>25</v>
      </c>
      <c r="E41" s="2">
        <f t="shared" si="6"/>
        <v>54</v>
      </c>
      <c r="F41" s="11">
        <f t="shared" ca="1" si="0"/>
        <v>2.0709734030527213E-2</v>
      </c>
      <c r="G41" s="12">
        <f t="shared" ca="1" si="7"/>
        <v>167367.08830195863</v>
      </c>
      <c r="H41" s="12">
        <f t="shared" ca="1" si="1"/>
        <v>16736.708830195865</v>
      </c>
      <c r="I41" s="12">
        <f t="shared" ca="1" si="2"/>
        <v>5021.0126490587591</v>
      </c>
      <c r="J41" s="12">
        <f t="shared" ca="1" si="3"/>
        <v>21757.721479254622</v>
      </c>
      <c r="K41" s="12">
        <f t="shared" ca="1" si="4"/>
        <v>28622.828534821576</v>
      </c>
      <c r="L41" s="12">
        <f t="shared" ca="1" si="5"/>
        <v>675769.44979453192</v>
      </c>
      <c r="N41">
        <v>40</v>
      </c>
      <c r="O41">
        <v>1540601.4729651285</v>
      </c>
    </row>
    <row r="42" spans="3:15" x14ac:dyDescent="0.35">
      <c r="C42" s="2"/>
      <c r="D42" s="2">
        <v>26</v>
      </c>
      <c r="E42" s="2">
        <f t="shared" si="6"/>
        <v>55</v>
      </c>
      <c r="F42" s="11">
        <f t="shared" ca="1" si="0"/>
        <v>4.5050165115008027E-2</v>
      </c>
      <c r="G42" s="12">
        <f t="shared" ca="1" si="7"/>
        <v>174907.00326477998</v>
      </c>
      <c r="H42" s="12">
        <f t="shared" ca="1" si="1"/>
        <v>17490.700326478</v>
      </c>
      <c r="I42" s="12">
        <f t="shared" ca="1" si="2"/>
        <v>5247.210097943399</v>
      </c>
      <c r="J42" s="12">
        <f t="shared" ca="1" si="3"/>
        <v>22737.9104244214</v>
      </c>
      <c r="K42" s="12">
        <f t="shared" ca="1" si="4"/>
        <v>30426.543645451784</v>
      </c>
      <c r="L42" s="12">
        <f t="shared" ca="1" si="5"/>
        <v>728933.90386440512</v>
      </c>
      <c r="N42">
        <v>41</v>
      </c>
      <c r="O42">
        <v>1575385.5476509253</v>
      </c>
    </row>
    <row r="43" spans="3:15" x14ac:dyDescent="0.35">
      <c r="C43" s="2"/>
      <c r="D43" s="2">
        <v>27</v>
      </c>
      <c r="E43" s="2">
        <f t="shared" si="6"/>
        <v>56</v>
      </c>
      <c r="F43" s="11">
        <f t="shared" ca="1" si="0"/>
        <v>3.5016486885274985E-2</v>
      </c>
      <c r="G43" s="12">
        <f t="shared" ca="1" si="7"/>
        <v>181031.63205074388</v>
      </c>
      <c r="H43" s="12">
        <f t="shared" ca="1" si="1"/>
        <v>18103.16320507439</v>
      </c>
      <c r="I43" s="12">
        <f t="shared" ca="1" si="2"/>
        <v>5430.9489615223165</v>
      </c>
      <c r="J43" s="12">
        <f t="shared" ca="1" si="3"/>
        <v>23534.112166596708</v>
      </c>
      <c r="K43" s="12">
        <f t="shared" ca="1" si="4"/>
        <v>32311.516419636318</v>
      </c>
      <c r="L43" s="12">
        <f t="shared" ca="1" si="5"/>
        <v>784779.53245063813</v>
      </c>
      <c r="N43">
        <v>42</v>
      </c>
      <c r="O43">
        <v>1526374.7485549867</v>
      </c>
    </row>
    <row r="44" spans="3:15" x14ac:dyDescent="0.35">
      <c r="C44" s="2"/>
      <c r="D44" s="2">
        <v>28</v>
      </c>
      <c r="E44" s="2">
        <f t="shared" si="6"/>
        <v>57</v>
      </c>
      <c r="F44" s="11">
        <f t="shared" ca="1" si="0"/>
        <v>4.9046070166274186E-2</v>
      </c>
      <c r="G44" s="12">
        <f t="shared" ca="1" si="7"/>
        <v>189910.52217861981</v>
      </c>
      <c r="H44" s="12">
        <f t="shared" ca="1" si="1"/>
        <v>18991.052217861983</v>
      </c>
      <c r="I44" s="12">
        <f t="shared" ca="1" si="2"/>
        <v>5697.3156653585938</v>
      </c>
      <c r="J44" s="12">
        <f t="shared" ca="1" si="3"/>
        <v>24688.367883220577</v>
      </c>
      <c r="K44" s="12">
        <f t="shared" ca="1" si="4"/>
        <v>34262.494318247183</v>
      </c>
      <c r="L44" s="12">
        <f t="shared" ca="1" si="5"/>
        <v>843730.39465210587</v>
      </c>
      <c r="N44">
        <v>43</v>
      </c>
      <c r="O44">
        <v>1572474.2908468063</v>
      </c>
    </row>
    <row r="45" spans="3:15" x14ac:dyDescent="0.35">
      <c r="C45" s="2"/>
      <c r="D45" s="2">
        <v>29</v>
      </c>
      <c r="E45" s="2">
        <f t="shared" si="6"/>
        <v>58</v>
      </c>
      <c r="F45" s="11">
        <f t="shared" ca="1" si="0"/>
        <v>1.8923579213245223E-2</v>
      </c>
      <c r="G45" s="12">
        <f t="shared" ca="1" si="7"/>
        <v>193504.30898849567</v>
      </c>
      <c r="H45" s="12">
        <f t="shared" ca="1" si="1"/>
        <v>19350.430898849569</v>
      </c>
      <c r="I45" s="12">
        <f t="shared" ca="1" si="2"/>
        <v>5805.1292696548699</v>
      </c>
      <c r="J45" s="12">
        <f t="shared" ca="1" si="3"/>
        <v>25155.560168504438</v>
      </c>
      <c r="K45" s="12">
        <f t="shared" ca="1" si="4"/>
        <v>36309.160015766167</v>
      </c>
      <c r="L45" s="12">
        <f t="shared" ca="1" si="5"/>
        <v>905195.11483637651</v>
      </c>
      <c r="N45">
        <v>44</v>
      </c>
      <c r="O45">
        <v>1568130.3036586703</v>
      </c>
    </row>
    <row r="46" spans="3:15" x14ac:dyDescent="0.35">
      <c r="C46" s="2"/>
      <c r="D46" s="2">
        <v>30</v>
      </c>
      <c r="E46" s="2">
        <f t="shared" si="6"/>
        <v>59</v>
      </c>
      <c r="F46" s="11">
        <f t="shared" ca="1" si="0"/>
        <v>4.2297146427307988E-2</v>
      </c>
      <c r="G46" s="12">
        <f t="shared" ca="1" si="7"/>
        <v>201688.98908009715</v>
      </c>
      <c r="H46" s="12">
        <f t="shared" ca="1" si="1"/>
        <v>20168.898908009716</v>
      </c>
      <c r="I46" s="12">
        <f t="shared" ca="1" si="2"/>
        <v>6050.6696724029143</v>
      </c>
      <c r="J46" s="12">
        <f t="shared" ca="1" si="3"/>
        <v>26219.56858041263</v>
      </c>
      <c r="K46" s="12">
        <f t="shared" ca="1" si="4"/>
        <v>38394.555953735187</v>
      </c>
      <c r="L46" s="12">
        <f t="shared" ca="1" si="5"/>
        <v>969809.2393705243</v>
      </c>
      <c r="N46">
        <v>45</v>
      </c>
      <c r="O46">
        <v>1544290.2621283045</v>
      </c>
    </row>
    <row r="47" spans="3:15" x14ac:dyDescent="0.35">
      <c r="C47" s="2"/>
      <c r="D47" s="2">
        <v>31</v>
      </c>
      <c r="E47" s="2">
        <f t="shared" si="6"/>
        <v>60</v>
      </c>
      <c r="F47" s="11">
        <f t="shared" ca="1" si="0"/>
        <v>5.362301795727057E-2</v>
      </c>
      <c r="G47" s="12">
        <f t="shared" ca="1" si="7"/>
        <v>212504.16136332293</v>
      </c>
      <c r="H47" s="12">
        <f t="shared" ca="1" si="1"/>
        <v>21250.416136332293</v>
      </c>
      <c r="I47" s="12">
        <f t="shared" ca="1" si="2"/>
        <v>6375.124840899688</v>
      </c>
      <c r="J47" s="12">
        <f t="shared" ca="1" si="3"/>
        <v>27625.54097723198</v>
      </c>
      <c r="K47" s="12">
        <f t="shared" ca="1" si="4"/>
        <v>40568.158189051392</v>
      </c>
      <c r="L47" s="12">
        <f t="shared" ca="1" si="5"/>
        <v>1038002.9385368077</v>
      </c>
      <c r="N47">
        <v>46</v>
      </c>
      <c r="O47">
        <v>1577419.1613873427</v>
      </c>
    </row>
    <row r="48" spans="3:15" x14ac:dyDescent="0.35">
      <c r="C48" s="2"/>
      <c r="D48" s="2">
        <v>32</v>
      </c>
      <c r="E48" s="2">
        <f t="shared" si="6"/>
        <v>61</v>
      </c>
      <c r="F48" s="11">
        <f t="shared" ca="1" si="0"/>
        <v>3.2531710056046909E-2</v>
      </c>
      <c r="G48" s="12">
        <f t="shared" ca="1" si="7"/>
        <v>219417.28512649797</v>
      </c>
      <c r="H48" s="12">
        <f t="shared" ca="1" si="1"/>
        <v>21941.728512649799</v>
      </c>
      <c r="I48" s="12">
        <f t="shared" ca="1" si="2"/>
        <v>6582.5185537949392</v>
      </c>
      <c r="J48" s="12">
        <f t="shared" ca="1" si="3"/>
        <v>28524.247066444739</v>
      </c>
      <c r="K48" s="12">
        <f t="shared" ca="1" si="4"/>
        <v>42858.315536063921</v>
      </c>
      <c r="L48" s="12">
        <f t="shared" ca="1" si="5"/>
        <v>1109385.5011393162</v>
      </c>
      <c r="N48">
        <v>47</v>
      </c>
      <c r="O48">
        <v>1519033.0197625447</v>
      </c>
    </row>
    <row r="49" spans="3:15" x14ac:dyDescent="0.35">
      <c r="C49" s="2"/>
      <c r="D49" s="2">
        <v>33</v>
      </c>
      <c r="E49" s="2">
        <f t="shared" si="6"/>
        <v>62</v>
      </c>
      <c r="F49" s="11">
        <f t="shared" ca="1" si="0"/>
        <v>2.7371863069806508E-2</v>
      </c>
      <c r="G49" s="12">
        <f t="shared" ca="1" si="7"/>
        <v>225423.14501012917</v>
      </c>
      <c r="H49" s="12">
        <f t="shared" ca="1" si="1"/>
        <v>22542.314501012919</v>
      </c>
      <c r="I49" s="12">
        <f t="shared" ca="1" si="2"/>
        <v>6762.6943503038747</v>
      </c>
      <c r="J49" s="12">
        <f t="shared" ca="1" si="3"/>
        <v>29305.008851316794</v>
      </c>
      <c r="K49" s="12">
        <f t="shared" ca="1" si="4"/>
        <v>45222.975617872187</v>
      </c>
      <c r="L49" s="12">
        <f t="shared" ca="1" si="5"/>
        <v>1183913.4856085053</v>
      </c>
      <c r="N49">
        <v>48</v>
      </c>
      <c r="O49">
        <v>1550726.3248022906</v>
      </c>
    </row>
    <row r="50" spans="3:15" x14ac:dyDescent="0.35">
      <c r="C50" s="2"/>
      <c r="D50" s="2">
        <v>34</v>
      </c>
      <c r="E50" s="2">
        <f t="shared" si="6"/>
        <v>63</v>
      </c>
      <c r="F50" s="11">
        <f t="shared" ca="1" si="0"/>
        <v>3.6022277088401028E-2</v>
      </c>
      <c r="G50" s="12">
        <f t="shared" ca="1" si="7"/>
        <v>233543.40000182285</v>
      </c>
      <c r="H50" s="12">
        <f t="shared" ca="1" si="1"/>
        <v>23354.340000182288</v>
      </c>
      <c r="I50" s="12">
        <f t="shared" ca="1" si="2"/>
        <v>7006.3020000546858</v>
      </c>
      <c r="J50" s="12">
        <f t="shared" ca="1" si="3"/>
        <v>30360.642000236974</v>
      </c>
      <c r="K50" s="12">
        <f t="shared" ca="1" si="4"/>
        <v>47652.36085164635</v>
      </c>
      <c r="L50" s="12">
        <f t="shared" ca="1" si="5"/>
        <v>1261926.4884603887</v>
      </c>
      <c r="N50">
        <v>49</v>
      </c>
      <c r="O50">
        <v>1549300.9934101463</v>
      </c>
    </row>
    <row r="51" spans="3:15" x14ac:dyDescent="0.35">
      <c r="C51" s="2"/>
      <c r="D51" s="2">
        <v>35</v>
      </c>
      <c r="E51" s="2">
        <f t="shared" si="6"/>
        <v>64</v>
      </c>
      <c r="F51" s="11">
        <f t="shared" ca="1" si="0"/>
        <v>3.4840098498256547E-2</v>
      </c>
      <c r="G51" s="12">
        <f t="shared" ca="1" si="7"/>
        <v>241680.07506150412</v>
      </c>
      <c r="H51" s="12">
        <f t="shared" ca="1" si="1"/>
        <v>24168.007506150414</v>
      </c>
      <c r="I51" s="12">
        <f t="shared" ca="1" si="2"/>
        <v>7250.4022518451229</v>
      </c>
      <c r="J51" s="12">
        <f t="shared" ca="1" si="3"/>
        <v>31418.409757995538</v>
      </c>
      <c r="K51" s="12">
        <f t="shared" ca="1" si="4"/>
        <v>50169.258073465993</v>
      </c>
      <c r="L51" s="12">
        <f t="shared" ca="1" si="5"/>
        <v>1343514.1562918504</v>
      </c>
      <c r="N51">
        <v>50</v>
      </c>
      <c r="O51">
        <v>1539375.1450727095</v>
      </c>
    </row>
    <row r="52" spans="3:15" x14ac:dyDescent="0.35">
      <c r="C52" s="2"/>
      <c r="D52" s="2">
        <v>36</v>
      </c>
      <c r="E52" s="2">
        <f t="shared" si="6"/>
        <v>65</v>
      </c>
      <c r="F52" s="11">
        <f t="shared" ca="1" si="0"/>
        <v>3.6095097797918647E-2</v>
      </c>
      <c r="G52" s="12">
        <f t="shared" ref="G52:G54" ca="1" si="8">G51*(1+F52)</f>
        <v>250403.54100665744</v>
      </c>
      <c r="H52" s="12">
        <f t="shared" ca="1" si="1"/>
        <v>25040.354100665747</v>
      </c>
      <c r="I52" s="12">
        <f t="shared" ref="I52:I54" ca="1" si="9">G52*$D$6</f>
        <v>7512.1062301997226</v>
      </c>
      <c r="J52" s="12">
        <f t="shared" ref="J52:J54" ca="1" si="10">H52+I52</f>
        <v>32552.46033086547</v>
      </c>
      <c r="K52" s="12">
        <f t="shared" ref="K52:K54" ca="1" si="11">(J51*$J$11)+K51</f>
        <v>52773.844242403822</v>
      </c>
      <c r="L52" s="12">
        <f t="shared" ref="L52:L54" ca="1" si="12">J52+K52+L51</f>
        <v>1428840.4608651197</v>
      </c>
      <c r="N52">
        <v>51</v>
      </c>
      <c r="O52">
        <v>1544717.7588006742</v>
      </c>
    </row>
    <row r="53" spans="3:15" x14ac:dyDescent="0.35">
      <c r="D53" s="2">
        <v>37</v>
      </c>
      <c r="E53" s="2">
        <f t="shared" si="6"/>
        <v>66</v>
      </c>
      <c r="F53" s="11">
        <f t="shared" ca="1" si="0"/>
        <v>3.5085226247573313E-2</v>
      </c>
      <c r="G53" s="12">
        <f t="shared" ca="1" si="8"/>
        <v>259189.00589606955</v>
      </c>
      <c r="H53" s="12">
        <f t="shared" ca="1" si="1"/>
        <v>25918.900589606958</v>
      </c>
      <c r="I53" s="12">
        <f t="shared" ca="1" si="9"/>
        <v>7775.6701768820858</v>
      </c>
      <c r="J53" s="12">
        <f t="shared" ca="1" si="10"/>
        <v>33694.570766489043</v>
      </c>
      <c r="K53" s="12">
        <f t="shared" ca="1" si="11"/>
        <v>55472.443203832569</v>
      </c>
      <c r="L53" s="12">
        <f t="shared" ca="1" si="12"/>
        <v>1518007.4748354412</v>
      </c>
      <c r="N53">
        <v>52</v>
      </c>
      <c r="O53">
        <v>1561044.3079026644</v>
      </c>
    </row>
    <row r="54" spans="3:15" x14ac:dyDescent="0.35">
      <c r="D54" s="2">
        <v>38</v>
      </c>
      <c r="E54" s="2">
        <f t="shared" si="6"/>
        <v>67</v>
      </c>
      <c r="F54" s="11">
        <f t="shared" ca="1" si="0"/>
        <v>3.4052153168663703E-2</v>
      </c>
      <c r="G54" s="12">
        <f t="shared" ca="1" si="8"/>
        <v>268014.9496244762</v>
      </c>
      <c r="H54" s="12">
        <f t="shared" ca="1" si="1"/>
        <v>26801.494962447621</v>
      </c>
      <c r="I54" s="12">
        <f t="shared" ca="1" si="9"/>
        <v>8040.448488734286</v>
      </c>
      <c r="J54" s="12">
        <f t="shared" ca="1" si="10"/>
        <v>34841.943451181905</v>
      </c>
      <c r="K54" s="12">
        <f t="shared" ca="1" si="11"/>
        <v>58265.72312037451</v>
      </c>
      <c r="L54" s="12">
        <f t="shared" ca="1" si="12"/>
        <v>1611115.1414069976</v>
      </c>
      <c r="N54">
        <v>53</v>
      </c>
      <c r="O54">
        <v>1547758.0138360632</v>
      </c>
    </row>
    <row r="55" spans="3:15" x14ac:dyDescent="0.35">
      <c r="D55" s="2"/>
      <c r="E55" s="2"/>
      <c r="F55" s="11"/>
      <c r="G55" s="12"/>
      <c r="H55" s="12"/>
      <c r="I55" s="12"/>
      <c r="J55" s="12"/>
      <c r="K55" s="12"/>
      <c r="L55" s="12"/>
      <c r="N55">
        <v>54</v>
      </c>
      <c r="O55">
        <v>1528372.7687249107</v>
      </c>
    </row>
    <row r="56" spans="3:15" x14ac:dyDescent="0.35">
      <c r="D56" s="2"/>
      <c r="E56" s="2"/>
      <c r="F56" s="11"/>
      <c r="G56" s="12"/>
      <c r="H56" s="12"/>
      <c r="I56" s="12"/>
      <c r="J56" s="12"/>
      <c r="K56" s="12"/>
      <c r="L56" s="12"/>
      <c r="N56">
        <v>55</v>
      </c>
      <c r="O56">
        <v>1527009.8281488761</v>
      </c>
    </row>
    <row r="57" spans="3:15" x14ac:dyDescent="0.35">
      <c r="D57" s="2"/>
      <c r="E57" s="2"/>
      <c r="F57" s="11"/>
      <c r="G57" s="12"/>
      <c r="H57" s="12"/>
      <c r="I57" s="12"/>
      <c r="J57" s="12"/>
      <c r="K57" s="12"/>
      <c r="L57" s="12"/>
      <c r="N57">
        <v>56</v>
      </c>
      <c r="O57">
        <v>1506031.3167433697</v>
      </c>
    </row>
    <row r="58" spans="3:15" x14ac:dyDescent="0.35">
      <c r="N58">
        <v>57</v>
      </c>
      <c r="O58">
        <v>1536747.4389261231</v>
      </c>
    </row>
    <row r="59" spans="3:15" x14ac:dyDescent="0.35">
      <c r="N59">
        <v>58</v>
      </c>
      <c r="O59">
        <v>1505101.3620744664</v>
      </c>
    </row>
    <row r="60" spans="3:15" x14ac:dyDescent="0.35">
      <c r="N60">
        <v>59</v>
      </c>
      <c r="O60">
        <v>1576768.4090208123</v>
      </c>
    </row>
    <row r="61" spans="3:15" x14ac:dyDescent="0.35">
      <c r="N61">
        <v>60</v>
      </c>
      <c r="O61">
        <v>1508010.4230598847</v>
      </c>
    </row>
    <row r="62" spans="3:15" x14ac:dyDescent="0.35">
      <c r="N62">
        <v>61</v>
      </c>
      <c r="O62">
        <v>1496505.5016442861</v>
      </c>
    </row>
    <row r="63" spans="3:15" x14ac:dyDescent="0.35">
      <c r="N63">
        <v>62</v>
      </c>
      <c r="O63">
        <v>1523296.2351973045</v>
      </c>
    </row>
    <row r="64" spans="3:15" x14ac:dyDescent="0.35">
      <c r="N64">
        <v>63</v>
      </c>
      <c r="O64">
        <v>1515375.0179118079</v>
      </c>
    </row>
    <row r="65" spans="14:15" x14ac:dyDescent="0.35">
      <c r="N65">
        <v>64</v>
      </c>
      <c r="O65">
        <v>1555781.0088230404</v>
      </c>
    </row>
    <row r="66" spans="14:15" x14ac:dyDescent="0.35">
      <c r="N66">
        <v>65</v>
      </c>
      <c r="O66">
        <v>1587777.9387084877</v>
      </c>
    </row>
    <row r="67" spans="14:15" x14ac:dyDescent="0.35">
      <c r="N67">
        <v>66</v>
      </c>
      <c r="O67">
        <v>1527714.2079144437</v>
      </c>
    </row>
    <row r="68" spans="14:15" x14ac:dyDescent="0.35">
      <c r="N68">
        <v>67</v>
      </c>
      <c r="O68">
        <v>1541438.8229965228</v>
      </c>
    </row>
    <row r="69" spans="14:15" x14ac:dyDescent="0.35">
      <c r="N69">
        <v>68</v>
      </c>
      <c r="O69">
        <v>1567335.0290607009</v>
      </c>
    </row>
    <row r="70" spans="14:15" x14ac:dyDescent="0.35">
      <c r="N70">
        <v>69</v>
      </c>
      <c r="O70">
        <v>1532425.1345310975</v>
      </c>
    </row>
    <row r="71" spans="14:15" x14ac:dyDescent="0.35">
      <c r="N71">
        <v>70</v>
      </c>
      <c r="O71">
        <v>1558034.2134227506</v>
      </c>
    </row>
    <row r="72" spans="14:15" x14ac:dyDescent="0.35">
      <c r="N72">
        <v>71</v>
      </c>
      <c r="O72">
        <v>1530800.5707629006</v>
      </c>
    </row>
    <row r="73" spans="14:15" x14ac:dyDescent="0.35">
      <c r="N73">
        <v>72</v>
      </c>
      <c r="O73">
        <v>1570914.1581143341</v>
      </c>
    </row>
    <row r="74" spans="14:15" x14ac:dyDescent="0.35">
      <c r="N74">
        <v>73</v>
      </c>
      <c r="O74">
        <v>1535980.0806803983</v>
      </c>
    </row>
    <row r="75" spans="14:15" x14ac:dyDescent="0.35">
      <c r="N75">
        <v>74</v>
      </c>
      <c r="O75">
        <v>1611681.1467762853</v>
      </c>
    </row>
    <row r="76" spans="14:15" x14ac:dyDescent="0.35">
      <c r="N76">
        <v>75</v>
      </c>
      <c r="O76">
        <v>1537420.8475462212</v>
      </c>
    </row>
    <row r="77" spans="14:15" x14ac:dyDescent="0.35">
      <c r="N77">
        <v>76</v>
      </c>
      <c r="O77">
        <v>1536304.3962652422</v>
      </c>
    </row>
    <row r="78" spans="14:15" x14ac:dyDescent="0.35">
      <c r="N78">
        <v>77</v>
      </c>
      <c r="O78">
        <v>1642711.7468646152</v>
      </c>
    </row>
    <row r="79" spans="14:15" x14ac:dyDescent="0.35">
      <c r="N79">
        <v>78</v>
      </c>
      <c r="O79">
        <v>1561703.9112634533</v>
      </c>
    </row>
    <row r="80" spans="14:15" x14ac:dyDescent="0.35">
      <c r="N80">
        <v>79</v>
      </c>
      <c r="O80">
        <v>1620868.7213834967</v>
      </c>
    </row>
    <row r="81" spans="14:15" x14ac:dyDescent="0.35">
      <c r="N81">
        <v>80</v>
      </c>
      <c r="O81">
        <v>1542276.63382788</v>
      </c>
    </row>
    <row r="82" spans="14:15" x14ac:dyDescent="0.35">
      <c r="N82">
        <v>81</v>
      </c>
      <c r="O82">
        <v>1587435.0114653315</v>
      </c>
    </row>
    <row r="83" spans="14:15" x14ac:dyDescent="0.35">
      <c r="N83">
        <v>82</v>
      </c>
      <c r="O83">
        <v>1516837.663217477</v>
      </c>
    </row>
    <row r="84" spans="14:15" x14ac:dyDescent="0.35">
      <c r="N84">
        <v>83</v>
      </c>
      <c r="O84">
        <v>1488966.297773059</v>
      </c>
    </row>
    <row r="85" spans="14:15" x14ac:dyDescent="0.35">
      <c r="N85">
        <v>84</v>
      </c>
      <c r="O85">
        <v>1578057.5378094527</v>
      </c>
    </row>
    <row r="86" spans="14:15" x14ac:dyDescent="0.35">
      <c r="N86">
        <v>85</v>
      </c>
      <c r="O86">
        <v>1492225.8166560675</v>
      </c>
    </row>
    <row r="87" spans="14:15" x14ac:dyDescent="0.35">
      <c r="N87">
        <v>86</v>
      </c>
      <c r="O87">
        <v>1566291.3239630437</v>
      </c>
    </row>
    <row r="88" spans="14:15" x14ac:dyDescent="0.35">
      <c r="N88">
        <v>87</v>
      </c>
      <c r="O88">
        <v>1523628.5675697809</v>
      </c>
    </row>
    <row r="89" spans="14:15" x14ac:dyDescent="0.35">
      <c r="N89">
        <v>88</v>
      </c>
      <c r="O89">
        <v>1561326.214240616</v>
      </c>
    </row>
    <row r="90" spans="14:15" x14ac:dyDescent="0.35">
      <c r="N90">
        <v>89</v>
      </c>
      <c r="O90">
        <v>1520648.3243224218</v>
      </c>
    </row>
    <row r="91" spans="14:15" x14ac:dyDescent="0.35">
      <c r="N91">
        <v>90</v>
      </c>
      <c r="O91">
        <v>1529502.4181663732</v>
      </c>
    </row>
    <row r="92" spans="14:15" x14ac:dyDescent="0.35">
      <c r="N92">
        <v>91</v>
      </c>
      <c r="O92">
        <v>1557213.0630313703</v>
      </c>
    </row>
    <row r="93" spans="14:15" x14ac:dyDescent="0.35">
      <c r="N93">
        <v>92</v>
      </c>
      <c r="O93">
        <v>1495675.7023383162</v>
      </c>
    </row>
    <row r="94" spans="14:15" x14ac:dyDescent="0.35">
      <c r="N94">
        <v>93</v>
      </c>
      <c r="O94">
        <v>1525923.9484295661</v>
      </c>
    </row>
    <row r="95" spans="14:15" x14ac:dyDescent="0.35">
      <c r="N95">
        <v>94</v>
      </c>
      <c r="O95">
        <v>1576625.364874512</v>
      </c>
    </row>
    <row r="96" spans="14:15" x14ac:dyDescent="0.35">
      <c r="N96">
        <v>95</v>
      </c>
      <c r="O96">
        <v>1523255.0397192179</v>
      </c>
    </row>
    <row r="97" spans="14:15" x14ac:dyDescent="0.35">
      <c r="N97">
        <v>96</v>
      </c>
      <c r="O97">
        <v>1484771.4591454116</v>
      </c>
    </row>
    <row r="98" spans="14:15" x14ac:dyDescent="0.35">
      <c r="N98">
        <v>97</v>
      </c>
      <c r="O98">
        <v>1557503.8235217503</v>
      </c>
    </row>
    <row r="99" spans="14:15" x14ac:dyDescent="0.35">
      <c r="N99">
        <v>98</v>
      </c>
      <c r="O99">
        <v>1525643.2204384534</v>
      </c>
    </row>
    <row r="100" spans="14:15" x14ac:dyDescent="0.35">
      <c r="N100">
        <v>99</v>
      </c>
      <c r="O100">
        <v>1580163.213177138</v>
      </c>
    </row>
    <row r="101" spans="14:15" x14ac:dyDescent="0.35">
      <c r="N101">
        <v>100</v>
      </c>
      <c r="O101">
        <v>1514732.8706544812</v>
      </c>
    </row>
    <row r="102" spans="14:15" x14ac:dyDescent="0.35">
      <c r="N102">
        <v>101</v>
      </c>
      <c r="O102">
        <v>1525566.0961507014</v>
      </c>
    </row>
    <row r="103" spans="14:15" x14ac:dyDescent="0.35">
      <c r="N103">
        <v>102</v>
      </c>
      <c r="O103">
        <v>1476172.3959395187</v>
      </c>
    </row>
    <row r="104" spans="14:15" x14ac:dyDescent="0.35">
      <c r="N104">
        <v>103</v>
      </c>
      <c r="O104">
        <v>1591633.5772125311</v>
      </c>
    </row>
    <row r="105" spans="14:15" x14ac:dyDescent="0.35">
      <c r="N105">
        <v>104</v>
      </c>
      <c r="O105">
        <v>1550824.7037020577</v>
      </c>
    </row>
    <row r="106" spans="14:15" x14ac:dyDescent="0.35">
      <c r="N106">
        <v>105</v>
      </c>
      <c r="O106">
        <v>1588959.4392993178</v>
      </c>
    </row>
    <row r="107" spans="14:15" x14ac:dyDescent="0.35">
      <c r="N107">
        <v>106</v>
      </c>
      <c r="O107">
        <v>1527462.9704532041</v>
      </c>
    </row>
    <row r="108" spans="14:15" x14ac:dyDescent="0.35">
      <c r="N108">
        <v>107</v>
      </c>
      <c r="O108">
        <v>1523004.0939342794</v>
      </c>
    </row>
    <row r="109" spans="14:15" x14ac:dyDescent="0.35">
      <c r="N109">
        <v>108</v>
      </c>
      <c r="O109">
        <v>1504730.6360674168</v>
      </c>
    </row>
    <row r="110" spans="14:15" x14ac:dyDescent="0.35">
      <c r="N110">
        <v>109</v>
      </c>
      <c r="O110">
        <v>1503724.0702746888</v>
      </c>
    </row>
    <row r="111" spans="14:15" x14ac:dyDescent="0.35">
      <c r="N111">
        <v>110</v>
      </c>
      <c r="O111">
        <v>1531647.9260361206</v>
      </c>
    </row>
    <row r="112" spans="14:15" x14ac:dyDescent="0.35">
      <c r="N112">
        <v>111</v>
      </c>
      <c r="O112">
        <v>1522133.844953123</v>
      </c>
    </row>
    <row r="113" spans="14:15" x14ac:dyDescent="0.35">
      <c r="N113">
        <v>112</v>
      </c>
      <c r="O113">
        <v>1486254.2105916329</v>
      </c>
    </row>
    <row r="114" spans="14:15" x14ac:dyDescent="0.35">
      <c r="N114">
        <v>113</v>
      </c>
      <c r="O114">
        <v>1507682.7833025332</v>
      </c>
    </row>
    <row r="115" spans="14:15" x14ac:dyDescent="0.35">
      <c r="N115">
        <v>114</v>
      </c>
      <c r="O115">
        <v>1582886.4379154937</v>
      </c>
    </row>
    <row r="116" spans="14:15" x14ac:dyDescent="0.35">
      <c r="N116">
        <v>115</v>
      </c>
      <c r="O116">
        <v>1565077.6479129349</v>
      </c>
    </row>
    <row r="117" spans="14:15" x14ac:dyDescent="0.35">
      <c r="N117">
        <v>116</v>
      </c>
      <c r="O117">
        <v>1533880.5097596946</v>
      </c>
    </row>
    <row r="118" spans="14:15" x14ac:dyDescent="0.35">
      <c r="N118">
        <v>117</v>
      </c>
      <c r="O118">
        <v>1519863.8368198599</v>
      </c>
    </row>
    <row r="119" spans="14:15" x14ac:dyDescent="0.35">
      <c r="N119">
        <v>118</v>
      </c>
      <c r="O119">
        <v>1492419.3736417282</v>
      </c>
    </row>
    <row r="120" spans="14:15" x14ac:dyDescent="0.35">
      <c r="N120">
        <v>119</v>
      </c>
      <c r="O120">
        <v>1552007.7472117499</v>
      </c>
    </row>
    <row r="121" spans="14:15" x14ac:dyDescent="0.35">
      <c r="N121">
        <v>120</v>
      </c>
      <c r="O121">
        <v>1528104.0633984357</v>
      </c>
    </row>
    <row r="122" spans="14:15" x14ac:dyDescent="0.35">
      <c r="N122">
        <v>121</v>
      </c>
      <c r="O122">
        <v>1542195.7658273166</v>
      </c>
    </row>
    <row r="123" spans="14:15" x14ac:dyDescent="0.35">
      <c r="N123">
        <v>122</v>
      </c>
      <c r="O123">
        <v>1525945.2446102079</v>
      </c>
    </row>
    <row r="124" spans="14:15" x14ac:dyDescent="0.35">
      <c r="N124">
        <v>123</v>
      </c>
      <c r="O124">
        <v>1539140.9050429557</v>
      </c>
    </row>
    <row r="125" spans="14:15" x14ac:dyDescent="0.35">
      <c r="N125">
        <v>124</v>
      </c>
      <c r="O125">
        <v>1512337.673237802</v>
      </c>
    </row>
    <row r="126" spans="14:15" x14ac:dyDescent="0.35">
      <c r="N126">
        <v>125</v>
      </c>
      <c r="O126">
        <v>1576005.9877030016</v>
      </c>
    </row>
    <row r="127" spans="14:15" x14ac:dyDescent="0.35">
      <c r="N127">
        <v>126</v>
      </c>
      <c r="O127">
        <v>1609588.048285</v>
      </c>
    </row>
    <row r="128" spans="14:15" x14ac:dyDescent="0.35">
      <c r="N128">
        <v>127</v>
      </c>
      <c r="O128">
        <v>1487189.7952267739</v>
      </c>
    </row>
    <row r="129" spans="14:15" x14ac:dyDescent="0.35">
      <c r="N129">
        <v>128</v>
      </c>
      <c r="O129">
        <v>1462698.2405540065</v>
      </c>
    </row>
    <row r="130" spans="14:15" x14ac:dyDescent="0.35">
      <c r="N130">
        <v>129</v>
      </c>
      <c r="O130">
        <v>1548833.6234790599</v>
      </c>
    </row>
    <row r="131" spans="14:15" x14ac:dyDescent="0.35">
      <c r="N131">
        <v>130</v>
      </c>
      <c r="O131">
        <v>1591429.8076175707</v>
      </c>
    </row>
    <row r="132" spans="14:15" x14ac:dyDescent="0.35">
      <c r="N132">
        <v>131</v>
      </c>
      <c r="O132">
        <v>1566218.3807932716</v>
      </c>
    </row>
    <row r="133" spans="14:15" x14ac:dyDescent="0.35">
      <c r="N133">
        <v>132</v>
      </c>
      <c r="O133">
        <v>1544945.2648615076</v>
      </c>
    </row>
    <row r="134" spans="14:15" x14ac:dyDescent="0.35">
      <c r="N134">
        <v>133</v>
      </c>
      <c r="O134">
        <v>1567648.9834454698</v>
      </c>
    </row>
    <row r="135" spans="14:15" x14ac:dyDescent="0.35">
      <c r="N135">
        <v>134</v>
      </c>
      <c r="O135">
        <v>1516133.2183819995</v>
      </c>
    </row>
    <row r="136" spans="14:15" x14ac:dyDescent="0.35">
      <c r="N136">
        <v>135</v>
      </c>
      <c r="O136">
        <v>1549979.5323597949</v>
      </c>
    </row>
    <row r="137" spans="14:15" x14ac:dyDescent="0.35">
      <c r="N137">
        <v>136</v>
      </c>
      <c r="O137">
        <v>1493909.0687612444</v>
      </c>
    </row>
    <row r="138" spans="14:15" x14ac:dyDescent="0.35">
      <c r="N138">
        <v>137</v>
      </c>
      <c r="O138">
        <v>1520921.2684567063</v>
      </c>
    </row>
    <row r="139" spans="14:15" x14ac:dyDescent="0.35">
      <c r="N139">
        <v>138</v>
      </c>
      <c r="O139">
        <v>1537991.6244257235</v>
      </c>
    </row>
    <row r="140" spans="14:15" x14ac:dyDescent="0.35">
      <c r="N140">
        <v>139</v>
      </c>
      <c r="O140">
        <v>1613264.8130864527</v>
      </c>
    </row>
    <row r="141" spans="14:15" x14ac:dyDescent="0.35">
      <c r="N141">
        <v>140</v>
      </c>
      <c r="O141">
        <v>1616917.8432163182</v>
      </c>
    </row>
    <row r="142" spans="14:15" x14ac:dyDescent="0.35">
      <c r="N142">
        <v>141</v>
      </c>
      <c r="O142">
        <v>1582161.7443327643</v>
      </c>
    </row>
    <row r="143" spans="14:15" x14ac:dyDescent="0.35">
      <c r="N143">
        <v>142</v>
      </c>
      <c r="O143">
        <v>1555554.4564785198</v>
      </c>
    </row>
    <row r="144" spans="14:15" x14ac:dyDescent="0.35">
      <c r="N144">
        <v>143</v>
      </c>
      <c r="O144">
        <v>1598050.3288066688</v>
      </c>
    </row>
    <row r="145" spans="14:15" x14ac:dyDescent="0.35">
      <c r="N145">
        <v>144</v>
      </c>
      <c r="O145">
        <v>1599813.4935183614</v>
      </c>
    </row>
    <row r="146" spans="14:15" x14ac:dyDescent="0.35">
      <c r="N146">
        <v>145</v>
      </c>
      <c r="O146">
        <v>1519020.4789912805</v>
      </c>
    </row>
    <row r="147" spans="14:15" x14ac:dyDescent="0.35">
      <c r="N147">
        <v>146</v>
      </c>
      <c r="O147">
        <v>1584297.8581500708</v>
      </c>
    </row>
    <row r="148" spans="14:15" x14ac:dyDescent="0.35">
      <c r="N148">
        <v>147</v>
      </c>
      <c r="O148">
        <v>1570371.4847341131</v>
      </c>
    </row>
    <row r="149" spans="14:15" x14ac:dyDescent="0.35">
      <c r="N149">
        <v>148</v>
      </c>
      <c r="O149">
        <v>1561831.5548264401</v>
      </c>
    </row>
    <row r="150" spans="14:15" x14ac:dyDescent="0.35">
      <c r="N150">
        <v>149</v>
      </c>
      <c r="O150">
        <v>1547680.4799593929</v>
      </c>
    </row>
    <row r="151" spans="14:15" x14ac:dyDescent="0.35">
      <c r="N151">
        <v>150</v>
      </c>
      <c r="O151">
        <v>1524435.8308969212</v>
      </c>
    </row>
    <row r="152" spans="14:15" x14ac:dyDescent="0.35">
      <c r="N152">
        <v>151</v>
      </c>
      <c r="O152">
        <v>1505716.7469645208</v>
      </c>
    </row>
    <row r="153" spans="14:15" x14ac:dyDescent="0.35">
      <c r="N153">
        <v>152</v>
      </c>
      <c r="O153">
        <v>1555918.9510957508</v>
      </c>
    </row>
    <row r="154" spans="14:15" x14ac:dyDescent="0.35">
      <c r="N154">
        <v>153</v>
      </c>
      <c r="O154">
        <v>1601693.6804934398</v>
      </c>
    </row>
    <row r="155" spans="14:15" x14ac:dyDescent="0.35">
      <c r="N155">
        <v>154</v>
      </c>
      <c r="O155">
        <v>1620741.5748485539</v>
      </c>
    </row>
    <row r="156" spans="14:15" x14ac:dyDescent="0.35">
      <c r="N156">
        <v>155</v>
      </c>
      <c r="O156">
        <v>1618825.6322368248</v>
      </c>
    </row>
    <row r="157" spans="14:15" x14ac:dyDescent="0.35">
      <c r="N157">
        <v>156</v>
      </c>
      <c r="O157">
        <v>1504216.1842880058</v>
      </c>
    </row>
    <row r="158" spans="14:15" x14ac:dyDescent="0.35">
      <c r="N158">
        <v>157</v>
      </c>
      <c r="O158">
        <v>1559989.6860363914</v>
      </c>
    </row>
    <row r="159" spans="14:15" x14ac:dyDescent="0.35">
      <c r="N159">
        <v>158</v>
      </c>
      <c r="O159">
        <v>1556098.1793274302</v>
      </c>
    </row>
    <row r="160" spans="14:15" x14ac:dyDescent="0.35">
      <c r="N160">
        <v>159</v>
      </c>
      <c r="O160">
        <v>1593340.3613922477</v>
      </c>
    </row>
    <row r="161" spans="14:15" x14ac:dyDescent="0.35">
      <c r="N161">
        <v>160</v>
      </c>
      <c r="O161">
        <v>1563242.4236868508</v>
      </c>
    </row>
    <row r="162" spans="14:15" x14ac:dyDescent="0.35">
      <c r="N162">
        <v>161</v>
      </c>
      <c r="O162">
        <v>1561925.2073315068</v>
      </c>
    </row>
    <row r="163" spans="14:15" x14ac:dyDescent="0.35">
      <c r="N163">
        <v>162</v>
      </c>
      <c r="O163">
        <v>1620836.3400799255</v>
      </c>
    </row>
    <row r="164" spans="14:15" x14ac:dyDescent="0.35">
      <c r="N164">
        <v>163</v>
      </c>
      <c r="O164">
        <v>1621797.5220100479</v>
      </c>
    </row>
    <row r="165" spans="14:15" x14ac:dyDescent="0.35">
      <c r="N165">
        <v>164</v>
      </c>
      <c r="O165">
        <v>1599931.2634749382</v>
      </c>
    </row>
    <row r="166" spans="14:15" x14ac:dyDescent="0.35">
      <c r="N166">
        <v>165</v>
      </c>
      <c r="O166">
        <v>1513409.724010109</v>
      </c>
    </row>
    <row r="167" spans="14:15" x14ac:dyDescent="0.35">
      <c r="N167">
        <v>166</v>
      </c>
      <c r="O167">
        <v>1538392.0829318548</v>
      </c>
    </row>
    <row r="168" spans="14:15" x14ac:dyDescent="0.35">
      <c r="N168">
        <v>167</v>
      </c>
      <c r="O168">
        <v>1499111.7272280096</v>
      </c>
    </row>
    <row r="169" spans="14:15" x14ac:dyDescent="0.35">
      <c r="N169">
        <v>168</v>
      </c>
      <c r="O169">
        <v>1563700.6626164962</v>
      </c>
    </row>
    <row r="170" spans="14:15" x14ac:dyDescent="0.35">
      <c r="N170">
        <v>169</v>
      </c>
      <c r="O170">
        <v>1616046.814313696</v>
      </c>
    </row>
    <row r="171" spans="14:15" x14ac:dyDescent="0.35">
      <c r="N171">
        <v>170</v>
      </c>
      <c r="O171">
        <v>1516806.0311990373</v>
      </c>
    </row>
    <row r="172" spans="14:15" x14ac:dyDescent="0.35">
      <c r="N172">
        <v>171</v>
      </c>
      <c r="O172">
        <v>1532837.8146986291</v>
      </c>
    </row>
    <row r="173" spans="14:15" x14ac:dyDescent="0.35">
      <c r="N173">
        <v>172</v>
      </c>
      <c r="O173">
        <v>1549051.9814649995</v>
      </c>
    </row>
    <row r="174" spans="14:15" x14ac:dyDescent="0.35">
      <c r="N174">
        <v>173</v>
      </c>
      <c r="O174">
        <v>1555988.9231484183</v>
      </c>
    </row>
    <row r="175" spans="14:15" x14ac:dyDescent="0.35">
      <c r="N175">
        <v>174</v>
      </c>
      <c r="O175">
        <v>1570539.3390820688</v>
      </c>
    </row>
    <row r="176" spans="14:15" x14ac:dyDescent="0.35">
      <c r="N176">
        <v>175</v>
      </c>
      <c r="O176">
        <v>1601359.8165130271</v>
      </c>
    </row>
    <row r="177" spans="14:15" x14ac:dyDescent="0.35">
      <c r="N177">
        <v>176</v>
      </c>
      <c r="O177">
        <v>1516241.0040094375</v>
      </c>
    </row>
    <row r="178" spans="14:15" x14ac:dyDescent="0.35">
      <c r="N178">
        <v>177</v>
      </c>
      <c r="O178">
        <v>1558559.3762285085</v>
      </c>
    </row>
    <row r="179" spans="14:15" x14ac:dyDescent="0.35">
      <c r="N179">
        <v>178</v>
      </c>
      <c r="O179">
        <v>1547037.8369310892</v>
      </c>
    </row>
    <row r="180" spans="14:15" x14ac:dyDescent="0.35">
      <c r="N180">
        <v>179</v>
      </c>
      <c r="O180">
        <v>1587239.5420211456</v>
      </c>
    </row>
    <row r="181" spans="14:15" x14ac:dyDescent="0.35">
      <c r="N181">
        <v>180</v>
      </c>
      <c r="O181">
        <v>1515299.9111545687</v>
      </c>
    </row>
    <row r="182" spans="14:15" x14ac:dyDescent="0.35">
      <c r="N182">
        <v>181</v>
      </c>
      <c r="O182">
        <v>1557784.2147273463</v>
      </c>
    </row>
    <row r="183" spans="14:15" x14ac:dyDescent="0.35">
      <c r="N183">
        <v>182</v>
      </c>
      <c r="O183">
        <v>1544998.4494604643</v>
      </c>
    </row>
    <row r="184" spans="14:15" x14ac:dyDescent="0.35">
      <c r="N184">
        <v>183</v>
      </c>
      <c r="O184">
        <v>1554608.3507498053</v>
      </c>
    </row>
    <row r="185" spans="14:15" x14ac:dyDescent="0.35">
      <c r="N185">
        <v>184</v>
      </c>
      <c r="O185">
        <v>1564708.2272432186</v>
      </c>
    </row>
    <row r="186" spans="14:15" x14ac:dyDescent="0.35">
      <c r="N186">
        <v>185</v>
      </c>
      <c r="O186">
        <v>1572653.6111022986</v>
      </c>
    </row>
    <row r="187" spans="14:15" x14ac:dyDescent="0.35">
      <c r="N187">
        <v>186</v>
      </c>
      <c r="O187">
        <v>1559917.9895491088</v>
      </c>
    </row>
    <row r="188" spans="14:15" x14ac:dyDescent="0.35">
      <c r="N188">
        <v>187</v>
      </c>
      <c r="O188">
        <v>1516746.9640684442</v>
      </c>
    </row>
    <row r="189" spans="14:15" x14ac:dyDescent="0.35">
      <c r="N189">
        <v>188</v>
      </c>
      <c r="O189">
        <v>1513434.7571382744</v>
      </c>
    </row>
    <row r="190" spans="14:15" x14ac:dyDescent="0.35">
      <c r="N190">
        <v>189</v>
      </c>
      <c r="O190">
        <v>1485377.3298633748</v>
      </c>
    </row>
    <row r="191" spans="14:15" x14ac:dyDescent="0.35">
      <c r="N191">
        <v>190</v>
      </c>
      <c r="O191">
        <v>1551285.943113626</v>
      </c>
    </row>
    <row r="192" spans="14:15" x14ac:dyDescent="0.35">
      <c r="N192">
        <v>191</v>
      </c>
      <c r="O192">
        <v>1569751.4179055458</v>
      </c>
    </row>
    <row r="193" spans="14:15" x14ac:dyDescent="0.35">
      <c r="N193">
        <v>192</v>
      </c>
      <c r="O193">
        <v>1585304.272553663</v>
      </c>
    </row>
    <row r="194" spans="14:15" x14ac:dyDescent="0.35">
      <c r="N194">
        <v>193</v>
      </c>
      <c r="O194">
        <v>1538238.8211612047</v>
      </c>
    </row>
    <row r="195" spans="14:15" x14ac:dyDescent="0.35">
      <c r="N195">
        <v>194</v>
      </c>
      <c r="O195">
        <v>1561742.8367385129</v>
      </c>
    </row>
    <row r="196" spans="14:15" x14ac:dyDescent="0.35">
      <c r="N196">
        <v>195</v>
      </c>
      <c r="O196">
        <v>1562793.013133157</v>
      </c>
    </row>
    <row r="197" spans="14:15" x14ac:dyDescent="0.35">
      <c r="N197">
        <v>196</v>
      </c>
      <c r="O197">
        <v>1551403.11010642</v>
      </c>
    </row>
    <row r="198" spans="14:15" x14ac:dyDescent="0.35">
      <c r="N198">
        <v>197</v>
      </c>
      <c r="O198">
        <v>1551328.6165408758</v>
      </c>
    </row>
    <row r="199" spans="14:15" x14ac:dyDescent="0.35">
      <c r="N199">
        <v>198</v>
      </c>
      <c r="O199">
        <v>1441425.63259511</v>
      </c>
    </row>
    <row r="200" spans="14:15" x14ac:dyDescent="0.35">
      <c r="N200">
        <v>199</v>
      </c>
      <c r="O200">
        <v>1537656.5216191926</v>
      </c>
    </row>
    <row r="201" spans="14:15" x14ac:dyDescent="0.35">
      <c r="N201">
        <v>200</v>
      </c>
      <c r="O201">
        <v>1538015.5049123154</v>
      </c>
    </row>
    <row r="202" spans="14:15" x14ac:dyDescent="0.35">
      <c r="N202">
        <v>201</v>
      </c>
      <c r="O202">
        <v>1580037.2554240541</v>
      </c>
    </row>
    <row r="203" spans="14:15" x14ac:dyDescent="0.35">
      <c r="N203">
        <v>202</v>
      </c>
      <c r="O203">
        <v>1576069.8432486181</v>
      </c>
    </row>
    <row r="204" spans="14:15" x14ac:dyDescent="0.35">
      <c r="N204">
        <v>203</v>
      </c>
      <c r="O204">
        <v>1491073.1008762745</v>
      </c>
    </row>
    <row r="205" spans="14:15" x14ac:dyDescent="0.35">
      <c r="N205">
        <v>204</v>
      </c>
      <c r="O205">
        <v>1511230.2430901318</v>
      </c>
    </row>
    <row r="206" spans="14:15" x14ac:dyDescent="0.35">
      <c r="N206">
        <v>205</v>
      </c>
      <c r="O206">
        <v>1498187.0165599491</v>
      </c>
    </row>
    <row r="207" spans="14:15" x14ac:dyDescent="0.35">
      <c r="N207">
        <v>206</v>
      </c>
      <c r="O207">
        <v>1557509.2315389079</v>
      </c>
    </row>
    <row r="208" spans="14:15" x14ac:dyDescent="0.35">
      <c r="N208">
        <v>207</v>
      </c>
      <c r="O208">
        <v>1524105.2753669319</v>
      </c>
    </row>
    <row r="209" spans="14:15" x14ac:dyDescent="0.35">
      <c r="N209">
        <v>208</v>
      </c>
      <c r="O209">
        <v>1502440.3953015227</v>
      </c>
    </row>
    <row r="210" spans="14:15" x14ac:dyDescent="0.35">
      <c r="N210">
        <v>209</v>
      </c>
      <c r="O210">
        <v>1556187.7928221824</v>
      </c>
    </row>
    <row r="211" spans="14:15" x14ac:dyDescent="0.35">
      <c r="N211">
        <v>210</v>
      </c>
      <c r="O211">
        <v>1482406.7927265295</v>
      </c>
    </row>
    <row r="212" spans="14:15" x14ac:dyDescent="0.35">
      <c r="N212">
        <v>211</v>
      </c>
      <c r="O212">
        <v>1476598.361319934</v>
      </c>
    </row>
    <row r="213" spans="14:15" x14ac:dyDescent="0.35">
      <c r="N213">
        <v>212</v>
      </c>
      <c r="O213">
        <v>1608638.7501680627</v>
      </c>
    </row>
    <row r="214" spans="14:15" x14ac:dyDescent="0.35">
      <c r="N214">
        <v>213</v>
      </c>
      <c r="O214">
        <v>1533891.9022922402</v>
      </c>
    </row>
    <row r="215" spans="14:15" x14ac:dyDescent="0.35">
      <c r="N215">
        <v>214</v>
      </c>
      <c r="O215">
        <v>1559324.9239969924</v>
      </c>
    </row>
    <row r="216" spans="14:15" x14ac:dyDescent="0.35">
      <c r="N216">
        <v>215</v>
      </c>
      <c r="O216">
        <v>1540708.6166453662</v>
      </c>
    </row>
    <row r="217" spans="14:15" x14ac:dyDescent="0.35">
      <c r="N217">
        <v>216</v>
      </c>
      <c r="O217">
        <v>1551621.970788307</v>
      </c>
    </row>
    <row r="218" spans="14:15" x14ac:dyDescent="0.35">
      <c r="N218">
        <v>217</v>
      </c>
      <c r="O218">
        <v>1530503.1099695929</v>
      </c>
    </row>
    <row r="219" spans="14:15" x14ac:dyDescent="0.35">
      <c r="N219">
        <v>218</v>
      </c>
      <c r="O219">
        <v>1527099.5743903564</v>
      </c>
    </row>
    <row r="220" spans="14:15" x14ac:dyDescent="0.35">
      <c r="N220">
        <v>219</v>
      </c>
      <c r="O220">
        <v>1580388.8304931051</v>
      </c>
    </row>
    <row r="221" spans="14:15" x14ac:dyDescent="0.35">
      <c r="N221">
        <v>220</v>
      </c>
      <c r="O221">
        <v>1598968.6680956446</v>
      </c>
    </row>
    <row r="222" spans="14:15" x14ac:dyDescent="0.35">
      <c r="N222">
        <v>221</v>
      </c>
      <c r="O222">
        <v>1556621.8015852268</v>
      </c>
    </row>
    <row r="223" spans="14:15" x14ac:dyDescent="0.35">
      <c r="N223">
        <v>222</v>
      </c>
      <c r="O223">
        <v>1520034.1811451705</v>
      </c>
    </row>
    <row r="224" spans="14:15" x14ac:dyDescent="0.35">
      <c r="N224">
        <v>223</v>
      </c>
      <c r="O224">
        <v>1506172.4086025469</v>
      </c>
    </row>
    <row r="225" spans="14:15" x14ac:dyDescent="0.35">
      <c r="N225">
        <v>224</v>
      </c>
      <c r="O225">
        <v>1558636.0302501014</v>
      </c>
    </row>
    <row r="226" spans="14:15" x14ac:dyDescent="0.35">
      <c r="N226">
        <v>225</v>
      </c>
      <c r="O226">
        <v>1545446.4888398959</v>
      </c>
    </row>
    <row r="227" spans="14:15" x14ac:dyDescent="0.35">
      <c r="N227">
        <v>226</v>
      </c>
      <c r="O227">
        <v>1520046.3353042542</v>
      </c>
    </row>
    <row r="228" spans="14:15" x14ac:dyDescent="0.35">
      <c r="N228">
        <v>227</v>
      </c>
      <c r="O228">
        <v>1561139.801507208</v>
      </c>
    </row>
    <row r="229" spans="14:15" x14ac:dyDescent="0.35">
      <c r="N229">
        <v>228</v>
      </c>
      <c r="O229">
        <v>1439073.6522218855</v>
      </c>
    </row>
    <row r="230" spans="14:15" x14ac:dyDescent="0.35">
      <c r="N230">
        <v>229</v>
      </c>
      <c r="O230">
        <v>1539571.8801435984</v>
      </c>
    </row>
    <row r="231" spans="14:15" x14ac:dyDescent="0.35">
      <c r="N231">
        <v>230</v>
      </c>
      <c r="O231">
        <v>1518395.7068648583</v>
      </c>
    </row>
    <row r="232" spans="14:15" x14ac:dyDescent="0.35">
      <c r="N232">
        <v>231</v>
      </c>
      <c r="O232">
        <v>1490878.348024243</v>
      </c>
    </row>
    <row r="233" spans="14:15" x14ac:dyDescent="0.35">
      <c r="N233">
        <v>232</v>
      </c>
      <c r="O233">
        <v>1521317.8197816862</v>
      </c>
    </row>
    <row r="234" spans="14:15" x14ac:dyDescent="0.35">
      <c r="N234">
        <v>233</v>
      </c>
      <c r="O234">
        <v>1521423.7737385903</v>
      </c>
    </row>
    <row r="235" spans="14:15" x14ac:dyDescent="0.35">
      <c r="N235">
        <v>234</v>
      </c>
      <c r="O235">
        <v>1579969.7966500204</v>
      </c>
    </row>
    <row r="236" spans="14:15" x14ac:dyDescent="0.35">
      <c r="N236">
        <v>235</v>
      </c>
      <c r="O236">
        <v>1530428.3534434568</v>
      </c>
    </row>
    <row r="237" spans="14:15" x14ac:dyDescent="0.35">
      <c r="N237">
        <v>236</v>
      </c>
      <c r="O237">
        <v>1568522.2576792727</v>
      </c>
    </row>
    <row r="238" spans="14:15" x14ac:dyDescent="0.35">
      <c r="N238">
        <v>237</v>
      </c>
      <c r="O238">
        <v>1579473.4132543658</v>
      </c>
    </row>
    <row r="239" spans="14:15" x14ac:dyDescent="0.35">
      <c r="N239">
        <v>238</v>
      </c>
      <c r="O239">
        <v>1612306.6224460141</v>
      </c>
    </row>
    <row r="240" spans="14:15" x14ac:dyDescent="0.35">
      <c r="N240">
        <v>239</v>
      </c>
      <c r="O240">
        <v>1525216.3412247861</v>
      </c>
    </row>
    <row r="241" spans="14:15" x14ac:dyDescent="0.35">
      <c r="N241">
        <v>240</v>
      </c>
      <c r="O241">
        <v>1488256.0500392504</v>
      </c>
    </row>
    <row r="242" spans="14:15" x14ac:dyDescent="0.35">
      <c r="N242">
        <v>241</v>
      </c>
      <c r="O242">
        <v>1499915.2752067661</v>
      </c>
    </row>
    <row r="243" spans="14:15" x14ac:dyDescent="0.35">
      <c r="N243">
        <v>242</v>
      </c>
      <c r="O243">
        <v>1589376.1560304819</v>
      </c>
    </row>
    <row r="244" spans="14:15" x14ac:dyDescent="0.35">
      <c r="N244">
        <v>243</v>
      </c>
      <c r="O244">
        <v>1554915.2276442212</v>
      </c>
    </row>
    <row r="245" spans="14:15" x14ac:dyDescent="0.35">
      <c r="N245">
        <v>244</v>
      </c>
      <c r="O245">
        <v>1558663.9931785823</v>
      </c>
    </row>
    <row r="246" spans="14:15" x14ac:dyDescent="0.35">
      <c r="N246">
        <v>245</v>
      </c>
      <c r="O246">
        <v>1508089.3925049934</v>
      </c>
    </row>
    <row r="247" spans="14:15" x14ac:dyDescent="0.35">
      <c r="N247">
        <v>246</v>
      </c>
      <c r="O247">
        <v>1555606.5285691184</v>
      </c>
    </row>
    <row r="248" spans="14:15" x14ac:dyDescent="0.35">
      <c r="N248">
        <v>247</v>
      </c>
      <c r="O248">
        <v>1573614.668557036</v>
      </c>
    </row>
    <row r="249" spans="14:15" x14ac:dyDescent="0.35">
      <c r="N249">
        <v>248</v>
      </c>
      <c r="O249">
        <v>1587017.3749763642</v>
      </c>
    </row>
    <row r="250" spans="14:15" x14ac:dyDescent="0.35">
      <c r="N250">
        <v>249</v>
      </c>
      <c r="O250">
        <v>1549319.7822267676</v>
      </c>
    </row>
    <row r="251" spans="14:15" x14ac:dyDescent="0.35">
      <c r="N251">
        <v>250</v>
      </c>
      <c r="O251">
        <v>1500510.9740287007</v>
      </c>
    </row>
    <row r="252" spans="14:15" x14ac:dyDescent="0.35">
      <c r="N252">
        <v>251</v>
      </c>
      <c r="O252">
        <v>1522398.4302639288</v>
      </c>
    </row>
    <row r="253" spans="14:15" x14ac:dyDescent="0.35">
      <c r="N253">
        <v>252</v>
      </c>
      <c r="O253">
        <v>1530962.8613197578</v>
      </c>
    </row>
    <row r="254" spans="14:15" x14ac:dyDescent="0.35">
      <c r="N254">
        <v>253</v>
      </c>
      <c r="O254">
        <v>1596154.4783300061</v>
      </c>
    </row>
    <row r="255" spans="14:15" x14ac:dyDescent="0.35">
      <c r="N255">
        <v>254</v>
      </c>
      <c r="O255">
        <v>1540235.7864564226</v>
      </c>
    </row>
    <row r="256" spans="14:15" x14ac:dyDescent="0.35">
      <c r="N256">
        <v>255</v>
      </c>
      <c r="O256">
        <v>1464277.9590893928</v>
      </c>
    </row>
    <row r="257" spans="14:15" x14ac:dyDescent="0.35">
      <c r="N257">
        <v>256</v>
      </c>
      <c r="O257">
        <v>1535223.4228667214</v>
      </c>
    </row>
    <row r="258" spans="14:15" x14ac:dyDescent="0.35">
      <c r="N258">
        <v>257</v>
      </c>
      <c r="O258">
        <v>1561420.7391684742</v>
      </c>
    </row>
    <row r="259" spans="14:15" x14ac:dyDescent="0.35">
      <c r="N259">
        <v>258</v>
      </c>
      <c r="O259">
        <v>1570652.4243479599</v>
      </c>
    </row>
    <row r="260" spans="14:15" x14ac:dyDescent="0.35">
      <c r="N260">
        <v>259</v>
      </c>
      <c r="O260">
        <v>1456537.1065689325</v>
      </c>
    </row>
    <row r="261" spans="14:15" x14ac:dyDescent="0.35">
      <c r="N261">
        <v>260</v>
      </c>
      <c r="O261">
        <v>1556946.0974394069</v>
      </c>
    </row>
    <row r="262" spans="14:15" x14ac:dyDescent="0.35">
      <c r="N262">
        <v>261</v>
      </c>
      <c r="O262">
        <v>1511409.3838934698</v>
      </c>
    </row>
    <row r="263" spans="14:15" x14ac:dyDescent="0.35">
      <c r="N263">
        <v>262</v>
      </c>
      <c r="O263">
        <v>1538725.7182386289</v>
      </c>
    </row>
    <row r="264" spans="14:15" x14ac:dyDescent="0.35">
      <c r="N264">
        <v>263</v>
      </c>
      <c r="O264">
        <v>1473195.9178305152</v>
      </c>
    </row>
    <row r="265" spans="14:15" x14ac:dyDescent="0.35">
      <c r="N265">
        <v>264</v>
      </c>
      <c r="O265">
        <v>1529221.1425781387</v>
      </c>
    </row>
    <row r="266" spans="14:15" x14ac:dyDescent="0.35">
      <c r="N266">
        <v>265</v>
      </c>
      <c r="O266">
        <v>1548956.9176133289</v>
      </c>
    </row>
    <row r="267" spans="14:15" x14ac:dyDescent="0.35">
      <c r="N267">
        <v>266</v>
      </c>
      <c r="O267">
        <v>1537874.1556286893</v>
      </c>
    </row>
    <row r="268" spans="14:15" x14ac:dyDescent="0.35">
      <c r="N268">
        <v>267</v>
      </c>
      <c r="O268">
        <v>1551763.6115231742</v>
      </c>
    </row>
    <row r="269" spans="14:15" x14ac:dyDescent="0.35">
      <c r="N269">
        <v>268</v>
      </c>
      <c r="O269">
        <v>1533622.8397775171</v>
      </c>
    </row>
    <row r="270" spans="14:15" x14ac:dyDescent="0.35">
      <c r="N270">
        <v>269</v>
      </c>
      <c r="O270">
        <v>1545504.5477741293</v>
      </c>
    </row>
    <row r="271" spans="14:15" x14ac:dyDescent="0.35">
      <c r="N271">
        <v>270</v>
      </c>
      <c r="O271">
        <v>1601768.4935023184</v>
      </c>
    </row>
    <row r="272" spans="14:15" x14ac:dyDescent="0.35">
      <c r="N272">
        <v>271</v>
      </c>
      <c r="O272">
        <v>1542077.8127872373</v>
      </c>
    </row>
    <row r="273" spans="14:15" x14ac:dyDescent="0.35">
      <c r="N273">
        <v>272</v>
      </c>
      <c r="O273">
        <v>1559087.1163325012</v>
      </c>
    </row>
    <row r="274" spans="14:15" x14ac:dyDescent="0.35">
      <c r="N274">
        <v>273</v>
      </c>
      <c r="O274">
        <v>1554192.4044318423</v>
      </c>
    </row>
    <row r="275" spans="14:15" x14ac:dyDescent="0.35">
      <c r="N275">
        <v>274</v>
      </c>
      <c r="O275">
        <v>1572472.6799089464</v>
      </c>
    </row>
    <row r="276" spans="14:15" x14ac:dyDescent="0.35">
      <c r="N276">
        <v>275</v>
      </c>
      <c r="O276">
        <v>1589803.018567085</v>
      </c>
    </row>
    <row r="277" spans="14:15" x14ac:dyDescent="0.35">
      <c r="N277">
        <v>276</v>
      </c>
      <c r="O277">
        <v>1574070.6521825735</v>
      </c>
    </row>
    <row r="278" spans="14:15" x14ac:dyDescent="0.35">
      <c r="N278">
        <v>277</v>
      </c>
      <c r="O278">
        <v>1497991.7137795761</v>
      </c>
    </row>
    <row r="279" spans="14:15" x14ac:dyDescent="0.35">
      <c r="N279">
        <v>278</v>
      </c>
      <c r="O279">
        <v>1524837.231504349</v>
      </c>
    </row>
    <row r="280" spans="14:15" x14ac:dyDescent="0.35">
      <c r="N280">
        <v>279</v>
      </c>
      <c r="O280">
        <v>1500330.0480176341</v>
      </c>
    </row>
    <row r="281" spans="14:15" x14ac:dyDescent="0.35">
      <c r="N281">
        <v>280</v>
      </c>
      <c r="O281">
        <v>1574196.1501096967</v>
      </c>
    </row>
    <row r="282" spans="14:15" x14ac:dyDescent="0.35">
      <c r="N282">
        <v>281</v>
      </c>
      <c r="O282">
        <v>1536696.20358694</v>
      </c>
    </row>
    <row r="283" spans="14:15" x14ac:dyDescent="0.35">
      <c r="N283">
        <v>282</v>
      </c>
      <c r="O283">
        <v>1579207.7459915215</v>
      </c>
    </row>
    <row r="284" spans="14:15" x14ac:dyDescent="0.35">
      <c r="N284">
        <v>283</v>
      </c>
      <c r="O284">
        <v>1515659.8006403733</v>
      </c>
    </row>
    <row r="285" spans="14:15" x14ac:dyDescent="0.35">
      <c r="N285">
        <v>284</v>
      </c>
      <c r="O285">
        <v>1605731.1853468001</v>
      </c>
    </row>
    <row r="286" spans="14:15" x14ac:dyDescent="0.35">
      <c r="N286">
        <v>285</v>
      </c>
      <c r="O286">
        <v>1488912.1932685403</v>
      </c>
    </row>
    <row r="287" spans="14:15" x14ac:dyDescent="0.35">
      <c r="N287">
        <v>286</v>
      </c>
      <c r="O287">
        <v>1598168.4789511855</v>
      </c>
    </row>
    <row r="288" spans="14:15" x14ac:dyDescent="0.35">
      <c r="N288">
        <v>287</v>
      </c>
      <c r="O288">
        <v>1517991.5191644151</v>
      </c>
    </row>
    <row r="289" spans="14:15" x14ac:dyDescent="0.35">
      <c r="N289">
        <v>288</v>
      </c>
      <c r="O289">
        <v>1542249.0678215045</v>
      </c>
    </row>
    <row r="290" spans="14:15" x14ac:dyDescent="0.35">
      <c r="N290">
        <v>289</v>
      </c>
      <c r="O290">
        <v>1549372.962597854</v>
      </c>
    </row>
    <row r="291" spans="14:15" x14ac:dyDescent="0.35">
      <c r="N291">
        <v>290</v>
      </c>
      <c r="O291">
        <v>1497261.2596813575</v>
      </c>
    </row>
    <row r="292" spans="14:15" x14ac:dyDescent="0.35">
      <c r="N292">
        <v>291</v>
      </c>
      <c r="O292">
        <v>1478639.769999471</v>
      </c>
    </row>
    <row r="293" spans="14:15" x14ac:dyDescent="0.35">
      <c r="N293">
        <v>292</v>
      </c>
      <c r="O293">
        <v>1517500.5340152238</v>
      </c>
    </row>
    <row r="294" spans="14:15" x14ac:dyDescent="0.35">
      <c r="N294">
        <v>293</v>
      </c>
      <c r="O294">
        <v>1595705.6711372104</v>
      </c>
    </row>
    <row r="295" spans="14:15" x14ac:dyDescent="0.35">
      <c r="N295">
        <v>294</v>
      </c>
      <c r="O295">
        <v>1586005.8107826454</v>
      </c>
    </row>
    <row r="296" spans="14:15" x14ac:dyDescent="0.35">
      <c r="N296">
        <v>295</v>
      </c>
      <c r="O296">
        <v>1599446.7097185974</v>
      </c>
    </row>
    <row r="297" spans="14:15" x14ac:dyDescent="0.35">
      <c r="N297">
        <v>296</v>
      </c>
      <c r="O297">
        <v>1513897.9797978632</v>
      </c>
    </row>
    <row r="298" spans="14:15" x14ac:dyDescent="0.35">
      <c r="N298">
        <v>297</v>
      </c>
      <c r="O298">
        <v>1583957.5844704167</v>
      </c>
    </row>
    <row r="299" spans="14:15" x14ac:dyDescent="0.35">
      <c r="N299">
        <v>298</v>
      </c>
      <c r="O299">
        <v>1569361.05767374</v>
      </c>
    </row>
    <row r="300" spans="14:15" x14ac:dyDescent="0.35">
      <c r="N300">
        <v>299</v>
      </c>
      <c r="O300">
        <v>1518090.4468276447</v>
      </c>
    </row>
    <row r="301" spans="14:15" x14ac:dyDescent="0.35">
      <c r="N301">
        <v>300</v>
      </c>
      <c r="O301">
        <v>1563159.5326201853</v>
      </c>
    </row>
    <row r="302" spans="14:15" x14ac:dyDescent="0.35">
      <c r="N302">
        <v>301</v>
      </c>
      <c r="O302">
        <v>1514087.0972909606</v>
      </c>
    </row>
    <row r="303" spans="14:15" x14ac:dyDescent="0.35">
      <c r="N303">
        <v>302</v>
      </c>
      <c r="O303">
        <v>1516920.3198885296</v>
      </c>
    </row>
    <row r="304" spans="14:15" x14ac:dyDescent="0.35">
      <c r="N304">
        <v>303</v>
      </c>
      <c r="O304">
        <v>1551709.8564918514</v>
      </c>
    </row>
    <row r="305" spans="14:15" x14ac:dyDescent="0.35">
      <c r="N305">
        <v>304</v>
      </c>
      <c r="O305">
        <v>1608119.3698865895</v>
      </c>
    </row>
    <row r="306" spans="14:15" x14ac:dyDescent="0.35">
      <c r="N306">
        <v>305</v>
      </c>
      <c r="O306">
        <v>1591233.5712979848</v>
      </c>
    </row>
    <row r="307" spans="14:15" x14ac:dyDescent="0.35">
      <c r="N307">
        <v>306</v>
      </c>
      <c r="O307">
        <v>1517277.4912513869</v>
      </c>
    </row>
    <row r="308" spans="14:15" x14ac:dyDescent="0.35">
      <c r="N308">
        <v>307</v>
      </c>
      <c r="O308">
        <v>1561338.456772136</v>
      </c>
    </row>
    <row r="309" spans="14:15" x14ac:dyDescent="0.35">
      <c r="N309">
        <v>308</v>
      </c>
      <c r="O309">
        <v>1540389.3200521746</v>
      </c>
    </row>
    <row r="310" spans="14:15" x14ac:dyDescent="0.35">
      <c r="N310">
        <v>309</v>
      </c>
      <c r="O310">
        <v>1499383.4898320427</v>
      </c>
    </row>
    <row r="311" spans="14:15" x14ac:dyDescent="0.35">
      <c r="N311">
        <v>310</v>
      </c>
      <c r="O311">
        <v>1537148.1246032217</v>
      </c>
    </row>
    <row r="312" spans="14:15" x14ac:dyDescent="0.35">
      <c r="N312">
        <v>311</v>
      </c>
      <c r="O312">
        <v>1532848.0235690265</v>
      </c>
    </row>
    <row r="313" spans="14:15" x14ac:dyDescent="0.35">
      <c r="N313">
        <v>312</v>
      </c>
      <c r="O313">
        <v>1559665.1154408706</v>
      </c>
    </row>
    <row r="314" spans="14:15" x14ac:dyDescent="0.35">
      <c r="N314">
        <v>313</v>
      </c>
      <c r="O314">
        <v>1482644.8025330203</v>
      </c>
    </row>
    <row r="315" spans="14:15" x14ac:dyDescent="0.35">
      <c r="N315">
        <v>314</v>
      </c>
      <c r="O315">
        <v>1599258.9819674217</v>
      </c>
    </row>
    <row r="316" spans="14:15" x14ac:dyDescent="0.35">
      <c r="N316">
        <v>315</v>
      </c>
      <c r="O316">
        <v>1516290.5708701201</v>
      </c>
    </row>
    <row r="317" spans="14:15" x14ac:dyDescent="0.35">
      <c r="N317">
        <v>316</v>
      </c>
      <c r="O317">
        <v>1541410.4578066519</v>
      </c>
    </row>
    <row r="318" spans="14:15" x14ac:dyDescent="0.35">
      <c r="N318">
        <v>317</v>
      </c>
      <c r="O318">
        <v>1470719.0619584126</v>
      </c>
    </row>
    <row r="319" spans="14:15" x14ac:dyDescent="0.35">
      <c r="N319">
        <v>318</v>
      </c>
      <c r="O319">
        <v>1531232.0926521781</v>
      </c>
    </row>
    <row r="320" spans="14:15" x14ac:dyDescent="0.35">
      <c r="N320">
        <v>319</v>
      </c>
      <c r="O320">
        <v>1540197.9295707641</v>
      </c>
    </row>
    <row r="321" spans="14:15" x14ac:dyDescent="0.35">
      <c r="N321">
        <v>320</v>
      </c>
      <c r="O321">
        <v>1545378.494908931</v>
      </c>
    </row>
    <row r="322" spans="14:15" x14ac:dyDescent="0.35">
      <c r="N322">
        <v>321</v>
      </c>
      <c r="O322">
        <v>1500920.0491846113</v>
      </c>
    </row>
    <row r="323" spans="14:15" x14ac:dyDescent="0.35">
      <c r="N323">
        <v>322</v>
      </c>
      <c r="O323">
        <v>1587285.5850123649</v>
      </c>
    </row>
    <row r="324" spans="14:15" x14ac:dyDescent="0.35">
      <c r="N324">
        <v>323</v>
      </c>
      <c r="O324">
        <v>1563178.7910052948</v>
      </c>
    </row>
    <row r="325" spans="14:15" x14ac:dyDescent="0.35">
      <c r="N325">
        <v>324</v>
      </c>
      <c r="O325">
        <v>1550664.8598360168</v>
      </c>
    </row>
    <row r="326" spans="14:15" x14ac:dyDescent="0.35">
      <c r="N326">
        <v>325</v>
      </c>
      <c r="O326">
        <v>1541944.1554791965</v>
      </c>
    </row>
    <row r="327" spans="14:15" x14ac:dyDescent="0.35">
      <c r="N327">
        <v>326</v>
      </c>
      <c r="O327">
        <v>1537291.0296522675</v>
      </c>
    </row>
    <row r="328" spans="14:15" x14ac:dyDescent="0.35">
      <c r="N328">
        <v>327</v>
      </c>
      <c r="O328">
        <v>1531332.1652534208</v>
      </c>
    </row>
    <row r="329" spans="14:15" x14ac:dyDescent="0.35">
      <c r="N329">
        <v>328</v>
      </c>
      <c r="O329">
        <v>1611246.2785875839</v>
      </c>
    </row>
    <row r="330" spans="14:15" x14ac:dyDescent="0.35">
      <c r="N330">
        <v>329</v>
      </c>
      <c r="O330">
        <v>1514422.168481793</v>
      </c>
    </row>
    <row r="331" spans="14:15" x14ac:dyDescent="0.35">
      <c r="N331">
        <v>330</v>
      </c>
      <c r="O331">
        <v>1571574.7820271486</v>
      </c>
    </row>
    <row r="332" spans="14:15" x14ac:dyDescent="0.35">
      <c r="N332">
        <v>331</v>
      </c>
      <c r="O332">
        <v>1545822.1550181198</v>
      </c>
    </row>
    <row r="333" spans="14:15" x14ac:dyDescent="0.35">
      <c r="N333">
        <v>332</v>
      </c>
      <c r="O333">
        <v>1535982.3691484248</v>
      </c>
    </row>
    <row r="334" spans="14:15" x14ac:dyDescent="0.35">
      <c r="N334">
        <v>333</v>
      </c>
      <c r="O334">
        <v>1523809.2261643342</v>
      </c>
    </row>
    <row r="335" spans="14:15" x14ac:dyDescent="0.35">
      <c r="N335">
        <v>334</v>
      </c>
      <c r="O335">
        <v>1531818.5837656227</v>
      </c>
    </row>
    <row r="336" spans="14:15" x14ac:dyDescent="0.35">
      <c r="N336">
        <v>335</v>
      </c>
      <c r="O336">
        <v>1508362.9291650841</v>
      </c>
    </row>
    <row r="337" spans="14:15" x14ac:dyDescent="0.35">
      <c r="N337">
        <v>336</v>
      </c>
      <c r="O337">
        <v>1485266.7585974801</v>
      </c>
    </row>
    <row r="338" spans="14:15" x14ac:dyDescent="0.35">
      <c r="N338">
        <v>337</v>
      </c>
      <c r="O338">
        <v>1560887.0875763306</v>
      </c>
    </row>
    <row r="339" spans="14:15" x14ac:dyDescent="0.35">
      <c r="N339">
        <v>338</v>
      </c>
      <c r="O339">
        <v>1630571.5467683268</v>
      </c>
    </row>
    <row r="340" spans="14:15" x14ac:dyDescent="0.35">
      <c r="N340">
        <v>339</v>
      </c>
      <c r="O340">
        <v>1520383.438960498</v>
      </c>
    </row>
    <row r="341" spans="14:15" x14ac:dyDescent="0.35">
      <c r="N341">
        <v>340</v>
      </c>
      <c r="O341">
        <v>1596536.2196873657</v>
      </c>
    </row>
    <row r="342" spans="14:15" x14ac:dyDescent="0.35">
      <c r="N342">
        <v>341</v>
      </c>
      <c r="O342">
        <v>1517588.7867979016</v>
      </c>
    </row>
    <row r="343" spans="14:15" x14ac:dyDescent="0.35">
      <c r="N343">
        <v>342</v>
      </c>
      <c r="O343">
        <v>1544095.1427867126</v>
      </c>
    </row>
    <row r="344" spans="14:15" x14ac:dyDescent="0.35">
      <c r="N344">
        <v>343</v>
      </c>
      <c r="O344">
        <v>1564609.6148127397</v>
      </c>
    </row>
    <row r="345" spans="14:15" x14ac:dyDescent="0.35">
      <c r="N345">
        <v>344</v>
      </c>
      <c r="O345">
        <v>1549192.9408316051</v>
      </c>
    </row>
    <row r="346" spans="14:15" x14ac:dyDescent="0.35">
      <c r="N346">
        <v>345</v>
      </c>
      <c r="O346">
        <v>1595375.053374154</v>
      </c>
    </row>
    <row r="347" spans="14:15" x14ac:dyDescent="0.35">
      <c r="N347">
        <v>346</v>
      </c>
      <c r="O347">
        <v>1540899.2239327582</v>
      </c>
    </row>
    <row r="348" spans="14:15" x14ac:dyDescent="0.35">
      <c r="N348">
        <v>347</v>
      </c>
      <c r="O348">
        <v>1538002.1465412283</v>
      </c>
    </row>
    <row r="349" spans="14:15" x14ac:dyDescent="0.35">
      <c r="N349">
        <v>348</v>
      </c>
      <c r="O349">
        <v>1521261.1340341922</v>
      </c>
    </row>
    <row r="350" spans="14:15" x14ac:dyDescent="0.35">
      <c r="N350">
        <v>349</v>
      </c>
      <c r="O350">
        <v>1536521.8647932664</v>
      </c>
    </row>
    <row r="351" spans="14:15" x14ac:dyDescent="0.35">
      <c r="N351">
        <v>350</v>
      </c>
      <c r="O351">
        <v>1551450.6319309287</v>
      </c>
    </row>
    <row r="352" spans="14:15" x14ac:dyDescent="0.35">
      <c r="N352">
        <v>351</v>
      </c>
      <c r="O352">
        <v>1507442.3731425442</v>
      </c>
    </row>
    <row r="353" spans="14:15" x14ac:dyDescent="0.35">
      <c r="N353">
        <v>352</v>
      </c>
      <c r="O353">
        <v>1544059.4397056969</v>
      </c>
    </row>
    <row r="354" spans="14:15" x14ac:dyDescent="0.35">
      <c r="N354">
        <v>353</v>
      </c>
      <c r="O354">
        <v>1540447.4750498084</v>
      </c>
    </row>
    <row r="355" spans="14:15" x14ac:dyDescent="0.35">
      <c r="N355">
        <v>354</v>
      </c>
      <c r="O355">
        <v>1522868.7156010394</v>
      </c>
    </row>
    <row r="356" spans="14:15" x14ac:dyDescent="0.35">
      <c r="N356">
        <v>355</v>
      </c>
      <c r="O356">
        <v>1571980.9907611955</v>
      </c>
    </row>
    <row r="357" spans="14:15" x14ac:dyDescent="0.35">
      <c r="N357">
        <v>356</v>
      </c>
      <c r="O357">
        <v>1538221.227962102</v>
      </c>
    </row>
    <row r="358" spans="14:15" x14ac:dyDescent="0.35">
      <c r="N358">
        <v>357</v>
      </c>
      <c r="O358">
        <v>1662602.0717180085</v>
      </c>
    </row>
    <row r="359" spans="14:15" x14ac:dyDescent="0.35">
      <c r="N359">
        <v>358</v>
      </c>
      <c r="O359">
        <v>1607844.1676919588</v>
      </c>
    </row>
    <row r="360" spans="14:15" x14ac:dyDescent="0.35">
      <c r="N360">
        <v>359</v>
      </c>
      <c r="O360">
        <v>1555286.5129003539</v>
      </c>
    </row>
    <row r="361" spans="14:15" x14ac:dyDescent="0.35">
      <c r="N361">
        <v>360</v>
      </c>
      <c r="O361">
        <v>1613590.283264569</v>
      </c>
    </row>
    <row r="362" spans="14:15" x14ac:dyDescent="0.35">
      <c r="N362">
        <v>361</v>
      </c>
      <c r="O362">
        <v>1511726.3570113832</v>
      </c>
    </row>
    <row r="363" spans="14:15" x14ac:dyDescent="0.35">
      <c r="N363">
        <v>362</v>
      </c>
      <c r="O363">
        <v>1514198.0658661097</v>
      </c>
    </row>
    <row r="364" spans="14:15" x14ac:dyDescent="0.35">
      <c r="N364">
        <v>363</v>
      </c>
      <c r="O364">
        <v>1509053.2847524837</v>
      </c>
    </row>
    <row r="365" spans="14:15" x14ac:dyDescent="0.35">
      <c r="N365">
        <v>364</v>
      </c>
      <c r="O365">
        <v>1508617.088404526</v>
      </c>
    </row>
    <row r="366" spans="14:15" x14ac:dyDescent="0.35">
      <c r="N366">
        <v>365</v>
      </c>
      <c r="O366">
        <v>1552290.4520781368</v>
      </c>
    </row>
    <row r="367" spans="14:15" x14ac:dyDescent="0.35">
      <c r="N367">
        <v>366</v>
      </c>
      <c r="O367">
        <v>1495829.2255612561</v>
      </c>
    </row>
    <row r="368" spans="14:15" x14ac:dyDescent="0.35">
      <c r="N368">
        <v>367</v>
      </c>
      <c r="O368">
        <v>1613408.2275588405</v>
      </c>
    </row>
    <row r="369" spans="14:15" x14ac:dyDescent="0.35">
      <c r="N369">
        <v>368</v>
      </c>
      <c r="O369">
        <v>1542379.6452180871</v>
      </c>
    </row>
    <row r="370" spans="14:15" x14ac:dyDescent="0.35">
      <c r="N370">
        <v>369</v>
      </c>
      <c r="O370">
        <v>1491636.1750388909</v>
      </c>
    </row>
    <row r="371" spans="14:15" x14ac:dyDescent="0.35">
      <c r="N371">
        <v>370</v>
      </c>
      <c r="O371">
        <v>1572005.8518413161</v>
      </c>
    </row>
    <row r="372" spans="14:15" x14ac:dyDescent="0.35">
      <c r="N372">
        <v>371</v>
      </c>
      <c r="O372">
        <v>1578495.2479846894</v>
      </c>
    </row>
    <row r="373" spans="14:15" x14ac:dyDescent="0.35">
      <c r="N373">
        <v>372</v>
      </c>
      <c r="O373">
        <v>1551957.9890162926</v>
      </c>
    </row>
    <row r="374" spans="14:15" x14ac:dyDescent="0.35">
      <c r="N374">
        <v>373</v>
      </c>
      <c r="O374">
        <v>1546525.1782550882</v>
      </c>
    </row>
    <row r="375" spans="14:15" x14ac:dyDescent="0.35">
      <c r="N375">
        <v>374</v>
      </c>
      <c r="O375">
        <v>1603314.0171185741</v>
      </c>
    </row>
    <row r="376" spans="14:15" x14ac:dyDescent="0.35">
      <c r="N376">
        <v>375</v>
      </c>
      <c r="O376">
        <v>1524964.4102134744</v>
      </c>
    </row>
    <row r="377" spans="14:15" x14ac:dyDescent="0.35">
      <c r="N377">
        <v>376</v>
      </c>
      <c r="O377">
        <v>1526329.1453851284</v>
      </c>
    </row>
    <row r="378" spans="14:15" x14ac:dyDescent="0.35">
      <c r="N378">
        <v>377</v>
      </c>
      <c r="O378">
        <v>1522204.1911913755</v>
      </c>
    </row>
    <row r="379" spans="14:15" x14ac:dyDescent="0.35">
      <c r="N379">
        <v>378</v>
      </c>
      <c r="O379">
        <v>1556536.0339333112</v>
      </c>
    </row>
    <row r="380" spans="14:15" x14ac:dyDescent="0.35">
      <c r="N380">
        <v>379</v>
      </c>
      <c r="O380">
        <v>1576427.5041124034</v>
      </c>
    </row>
    <row r="381" spans="14:15" x14ac:dyDescent="0.35">
      <c r="N381">
        <v>380</v>
      </c>
      <c r="O381">
        <v>1496527.7040114254</v>
      </c>
    </row>
    <row r="382" spans="14:15" x14ac:dyDescent="0.35">
      <c r="N382">
        <v>381</v>
      </c>
      <c r="O382">
        <v>1549513.4733516716</v>
      </c>
    </row>
    <row r="383" spans="14:15" x14ac:dyDescent="0.35">
      <c r="N383">
        <v>382</v>
      </c>
      <c r="O383">
        <v>1569484.8853480022</v>
      </c>
    </row>
    <row r="384" spans="14:15" x14ac:dyDescent="0.35">
      <c r="N384">
        <v>383</v>
      </c>
      <c r="O384">
        <v>1512091.3130597917</v>
      </c>
    </row>
    <row r="385" spans="14:15" x14ac:dyDescent="0.35">
      <c r="N385">
        <v>384</v>
      </c>
      <c r="O385">
        <v>1559779.6917044425</v>
      </c>
    </row>
    <row r="386" spans="14:15" x14ac:dyDescent="0.35">
      <c r="N386">
        <v>385</v>
      </c>
      <c r="O386">
        <v>1523328.8639075232</v>
      </c>
    </row>
    <row r="387" spans="14:15" x14ac:dyDescent="0.35">
      <c r="N387">
        <v>386</v>
      </c>
      <c r="O387">
        <v>1606674.6198591916</v>
      </c>
    </row>
    <row r="388" spans="14:15" x14ac:dyDescent="0.35">
      <c r="N388">
        <v>387</v>
      </c>
      <c r="O388">
        <v>1496580.5107660987</v>
      </c>
    </row>
    <row r="389" spans="14:15" x14ac:dyDescent="0.35">
      <c r="N389">
        <v>388</v>
      </c>
      <c r="O389">
        <v>1592167.6570259929</v>
      </c>
    </row>
    <row r="390" spans="14:15" x14ac:dyDescent="0.35">
      <c r="N390">
        <v>389</v>
      </c>
      <c r="O390">
        <v>1608671.4279716697</v>
      </c>
    </row>
    <row r="391" spans="14:15" x14ac:dyDescent="0.35">
      <c r="N391">
        <v>390</v>
      </c>
      <c r="O391">
        <v>1522564.7019838721</v>
      </c>
    </row>
    <row r="392" spans="14:15" x14ac:dyDescent="0.35">
      <c r="N392">
        <v>391</v>
      </c>
      <c r="O392">
        <v>1509091.5900396765</v>
      </c>
    </row>
    <row r="393" spans="14:15" x14ac:dyDescent="0.35">
      <c r="N393">
        <v>392</v>
      </c>
      <c r="O393">
        <v>1521089.1568367267</v>
      </c>
    </row>
    <row r="394" spans="14:15" x14ac:dyDescent="0.35">
      <c r="N394">
        <v>393</v>
      </c>
      <c r="O394">
        <v>1589541.977230313</v>
      </c>
    </row>
    <row r="395" spans="14:15" x14ac:dyDescent="0.35">
      <c r="N395">
        <v>394</v>
      </c>
      <c r="O395">
        <v>1573506.8511525374</v>
      </c>
    </row>
    <row r="396" spans="14:15" x14ac:dyDescent="0.35">
      <c r="N396">
        <v>395</v>
      </c>
      <c r="O396">
        <v>1548759.139290476</v>
      </c>
    </row>
    <row r="397" spans="14:15" x14ac:dyDescent="0.35">
      <c r="N397">
        <v>396</v>
      </c>
      <c r="O397">
        <v>1574335.830033063</v>
      </c>
    </row>
    <row r="398" spans="14:15" x14ac:dyDescent="0.35">
      <c r="N398">
        <v>397</v>
      </c>
      <c r="O398">
        <v>1550098.0582638108</v>
      </c>
    </row>
    <row r="399" spans="14:15" x14ac:dyDescent="0.35">
      <c r="N399">
        <v>398</v>
      </c>
      <c r="O399">
        <v>1562717.2797977519</v>
      </c>
    </row>
    <row r="400" spans="14:15" x14ac:dyDescent="0.35">
      <c r="N400">
        <v>399</v>
      </c>
      <c r="O400">
        <v>1568877.7734043812</v>
      </c>
    </row>
    <row r="401" spans="14:15" x14ac:dyDescent="0.35">
      <c r="N401">
        <v>400</v>
      </c>
      <c r="O401">
        <v>1531517.5554823717</v>
      </c>
    </row>
    <row r="402" spans="14:15" x14ac:dyDescent="0.35">
      <c r="N402">
        <v>401</v>
      </c>
      <c r="O402">
        <v>1569163.8596250694</v>
      </c>
    </row>
    <row r="403" spans="14:15" x14ac:dyDescent="0.35">
      <c r="N403">
        <v>402</v>
      </c>
      <c r="O403">
        <v>1563216.3218566491</v>
      </c>
    </row>
    <row r="404" spans="14:15" x14ac:dyDescent="0.35">
      <c r="N404">
        <v>403</v>
      </c>
      <c r="O404">
        <v>1540696.305343224</v>
      </c>
    </row>
    <row r="405" spans="14:15" x14ac:dyDescent="0.35">
      <c r="N405">
        <v>404</v>
      </c>
      <c r="O405">
        <v>1542913.6699188682</v>
      </c>
    </row>
    <row r="406" spans="14:15" x14ac:dyDescent="0.35">
      <c r="N406">
        <v>405</v>
      </c>
      <c r="O406">
        <v>1575187.5096458616</v>
      </c>
    </row>
    <row r="407" spans="14:15" x14ac:dyDescent="0.35">
      <c r="N407">
        <v>406</v>
      </c>
      <c r="O407">
        <v>1612208.5322214959</v>
      </c>
    </row>
    <row r="408" spans="14:15" x14ac:dyDescent="0.35">
      <c r="N408">
        <v>407</v>
      </c>
      <c r="O408">
        <v>1581921.757109141</v>
      </c>
    </row>
    <row r="409" spans="14:15" x14ac:dyDescent="0.35">
      <c r="N409">
        <v>408</v>
      </c>
      <c r="O409">
        <v>1591942.1725816492</v>
      </c>
    </row>
    <row r="410" spans="14:15" x14ac:dyDescent="0.35">
      <c r="N410">
        <v>409</v>
      </c>
      <c r="O410">
        <v>1517513.5248022869</v>
      </c>
    </row>
    <row r="411" spans="14:15" x14ac:dyDescent="0.35">
      <c r="N411">
        <v>410</v>
      </c>
      <c r="O411">
        <v>1539596.1589580718</v>
      </c>
    </row>
    <row r="412" spans="14:15" x14ac:dyDescent="0.35">
      <c r="N412">
        <v>411</v>
      </c>
      <c r="O412">
        <v>1537595.7381701719</v>
      </c>
    </row>
    <row r="413" spans="14:15" x14ac:dyDescent="0.35">
      <c r="N413">
        <v>412</v>
      </c>
      <c r="O413">
        <v>1535730.7654524443</v>
      </c>
    </row>
    <row r="414" spans="14:15" x14ac:dyDescent="0.35">
      <c r="N414">
        <v>413</v>
      </c>
      <c r="O414">
        <v>1552322.0337823126</v>
      </c>
    </row>
    <row r="415" spans="14:15" x14ac:dyDescent="0.35">
      <c r="N415">
        <v>414</v>
      </c>
      <c r="O415">
        <v>1554317.3155913937</v>
      </c>
    </row>
    <row r="416" spans="14:15" x14ac:dyDescent="0.35">
      <c r="N416">
        <v>415</v>
      </c>
      <c r="O416">
        <v>1616645.8745230527</v>
      </c>
    </row>
    <row r="417" spans="14:15" x14ac:dyDescent="0.35">
      <c r="N417">
        <v>416</v>
      </c>
      <c r="O417">
        <v>1501171.593915652</v>
      </c>
    </row>
    <row r="418" spans="14:15" x14ac:dyDescent="0.35">
      <c r="N418">
        <v>417</v>
      </c>
      <c r="O418">
        <v>1590471.324865994</v>
      </c>
    </row>
    <row r="419" spans="14:15" x14ac:dyDescent="0.35">
      <c r="N419">
        <v>418</v>
      </c>
      <c r="O419">
        <v>1559933.8126111287</v>
      </c>
    </row>
    <row r="420" spans="14:15" x14ac:dyDescent="0.35">
      <c r="N420">
        <v>419</v>
      </c>
      <c r="O420">
        <v>1564428.3308006516</v>
      </c>
    </row>
    <row r="421" spans="14:15" x14ac:dyDescent="0.35">
      <c r="N421">
        <v>420</v>
      </c>
      <c r="O421">
        <v>1627766.2234115214</v>
      </c>
    </row>
    <row r="422" spans="14:15" x14ac:dyDescent="0.35">
      <c r="N422">
        <v>421</v>
      </c>
      <c r="O422">
        <v>1599538.8538747726</v>
      </c>
    </row>
    <row r="423" spans="14:15" x14ac:dyDescent="0.35">
      <c r="N423">
        <v>422</v>
      </c>
      <c r="O423">
        <v>1505373.266194443</v>
      </c>
    </row>
    <row r="424" spans="14:15" x14ac:dyDescent="0.35">
      <c r="N424">
        <v>423</v>
      </c>
      <c r="O424">
        <v>1528841.8447161161</v>
      </c>
    </row>
    <row r="425" spans="14:15" x14ac:dyDescent="0.35">
      <c r="N425">
        <v>424</v>
      </c>
      <c r="O425">
        <v>1570872.7374262523</v>
      </c>
    </row>
    <row r="426" spans="14:15" x14ac:dyDescent="0.35">
      <c r="N426">
        <v>425</v>
      </c>
      <c r="O426">
        <v>1527695.5635350421</v>
      </c>
    </row>
    <row r="427" spans="14:15" x14ac:dyDescent="0.35">
      <c r="N427">
        <v>426</v>
      </c>
      <c r="O427">
        <v>1638672.2483625119</v>
      </c>
    </row>
    <row r="428" spans="14:15" x14ac:dyDescent="0.35">
      <c r="N428">
        <v>427</v>
      </c>
      <c r="O428">
        <v>1589988.0451525156</v>
      </c>
    </row>
    <row r="429" spans="14:15" x14ac:dyDescent="0.35">
      <c r="N429">
        <v>428</v>
      </c>
      <c r="O429">
        <v>1489746.5171710029</v>
      </c>
    </row>
    <row r="430" spans="14:15" x14ac:dyDescent="0.35">
      <c r="N430">
        <v>429</v>
      </c>
      <c r="O430">
        <v>1511911.7570848158</v>
      </c>
    </row>
    <row r="431" spans="14:15" x14ac:dyDescent="0.35">
      <c r="N431">
        <v>430</v>
      </c>
      <c r="O431">
        <v>1600111.6942246538</v>
      </c>
    </row>
    <row r="432" spans="14:15" x14ac:dyDescent="0.35">
      <c r="N432">
        <v>431</v>
      </c>
      <c r="O432">
        <v>1520412.8790997956</v>
      </c>
    </row>
    <row r="433" spans="14:15" x14ac:dyDescent="0.35">
      <c r="N433">
        <v>432</v>
      </c>
      <c r="O433">
        <v>1575963.1336818675</v>
      </c>
    </row>
    <row r="434" spans="14:15" x14ac:dyDescent="0.35">
      <c r="N434">
        <v>433</v>
      </c>
      <c r="O434">
        <v>1592924.2817514876</v>
      </c>
    </row>
    <row r="435" spans="14:15" x14ac:dyDescent="0.35">
      <c r="N435">
        <v>434</v>
      </c>
      <c r="O435">
        <v>1499124.1680071929</v>
      </c>
    </row>
    <row r="436" spans="14:15" x14ac:dyDescent="0.35">
      <c r="N436">
        <v>435</v>
      </c>
      <c r="O436">
        <v>1541580.4256368119</v>
      </c>
    </row>
    <row r="437" spans="14:15" x14ac:dyDescent="0.35">
      <c r="N437">
        <v>436</v>
      </c>
      <c r="O437">
        <v>1537846.8766949405</v>
      </c>
    </row>
    <row r="438" spans="14:15" x14ac:dyDescent="0.35">
      <c r="N438">
        <v>437</v>
      </c>
      <c r="O438">
        <v>1585715.3395254877</v>
      </c>
    </row>
    <row r="439" spans="14:15" x14ac:dyDescent="0.35">
      <c r="N439">
        <v>438</v>
      </c>
      <c r="O439">
        <v>1574909.603726076</v>
      </c>
    </row>
    <row r="440" spans="14:15" x14ac:dyDescent="0.35">
      <c r="N440">
        <v>439</v>
      </c>
      <c r="O440">
        <v>1543991.1628988015</v>
      </c>
    </row>
    <row r="441" spans="14:15" x14ac:dyDescent="0.35">
      <c r="N441">
        <v>440</v>
      </c>
      <c r="O441">
        <v>1571803.5186644583</v>
      </c>
    </row>
    <row r="442" spans="14:15" x14ac:dyDescent="0.35">
      <c r="N442">
        <v>441</v>
      </c>
      <c r="O442">
        <v>1522024.2810465451</v>
      </c>
    </row>
    <row r="443" spans="14:15" x14ac:dyDescent="0.35">
      <c r="N443">
        <v>442</v>
      </c>
      <c r="O443">
        <v>1557879.3879010279</v>
      </c>
    </row>
    <row r="444" spans="14:15" x14ac:dyDescent="0.35">
      <c r="N444">
        <v>443</v>
      </c>
      <c r="O444">
        <v>1542864.3762937132</v>
      </c>
    </row>
    <row r="445" spans="14:15" x14ac:dyDescent="0.35">
      <c r="N445">
        <v>444</v>
      </c>
      <c r="O445">
        <v>1540521.8643714613</v>
      </c>
    </row>
    <row r="446" spans="14:15" x14ac:dyDescent="0.35">
      <c r="N446">
        <v>445</v>
      </c>
      <c r="O446">
        <v>1548829.9028474945</v>
      </c>
    </row>
    <row r="447" spans="14:15" x14ac:dyDescent="0.35">
      <c r="N447">
        <v>446</v>
      </c>
      <c r="O447">
        <v>1479299.0148296359</v>
      </c>
    </row>
    <row r="448" spans="14:15" x14ac:dyDescent="0.35">
      <c r="N448">
        <v>447</v>
      </c>
      <c r="O448">
        <v>1551285.6212318593</v>
      </c>
    </row>
    <row r="449" spans="14:15" x14ac:dyDescent="0.35">
      <c r="N449">
        <v>448</v>
      </c>
      <c r="O449">
        <v>1494745.3376855911</v>
      </c>
    </row>
    <row r="450" spans="14:15" x14ac:dyDescent="0.35">
      <c r="N450">
        <v>449</v>
      </c>
      <c r="O450">
        <v>1504913.1526663119</v>
      </c>
    </row>
    <row r="451" spans="14:15" x14ac:dyDescent="0.35">
      <c r="N451">
        <v>450</v>
      </c>
      <c r="O451">
        <v>1496433.928486618</v>
      </c>
    </row>
    <row r="452" spans="14:15" x14ac:dyDescent="0.35">
      <c r="N452">
        <v>451</v>
      </c>
      <c r="O452">
        <v>1572028.8337197825</v>
      </c>
    </row>
    <row r="453" spans="14:15" x14ac:dyDescent="0.35">
      <c r="N453">
        <v>452</v>
      </c>
      <c r="O453">
        <v>1516335.7942949415</v>
      </c>
    </row>
    <row r="454" spans="14:15" x14ac:dyDescent="0.35">
      <c r="N454">
        <v>453</v>
      </c>
      <c r="O454">
        <v>1489782.5245661295</v>
      </c>
    </row>
    <row r="455" spans="14:15" x14ac:dyDescent="0.35">
      <c r="N455">
        <v>454</v>
      </c>
      <c r="O455">
        <v>1495633.5511614261</v>
      </c>
    </row>
    <row r="456" spans="14:15" x14ac:dyDescent="0.35">
      <c r="N456">
        <v>455</v>
      </c>
      <c r="O456">
        <v>1540212.2465394863</v>
      </c>
    </row>
    <row r="457" spans="14:15" x14ac:dyDescent="0.35">
      <c r="N457">
        <v>456</v>
      </c>
      <c r="O457">
        <v>1546830.2130706667</v>
      </c>
    </row>
    <row r="458" spans="14:15" x14ac:dyDescent="0.35">
      <c r="N458">
        <v>457</v>
      </c>
      <c r="O458">
        <v>1504296.9340007722</v>
      </c>
    </row>
    <row r="459" spans="14:15" x14ac:dyDescent="0.35">
      <c r="N459">
        <v>458</v>
      </c>
      <c r="O459">
        <v>1550110.6831200211</v>
      </c>
    </row>
    <row r="460" spans="14:15" x14ac:dyDescent="0.35">
      <c r="N460">
        <v>459</v>
      </c>
      <c r="O460">
        <v>1519005.5544802768</v>
      </c>
    </row>
    <row r="461" spans="14:15" x14ac:dyDescent="0.35">
      <c r="N461">
        <v>460</v>
      </c>
      <c r="O461">
        <v>1524698.0020946136</v>
      </c>
    </row>
    <row r="462" spans="14:15" x14ac:dyDescent="0.35">
      <c r="N462">
        <v>461</v>
      </c>
      <c r="O462">
        <v>1574635.5897271037</v>
      </c>
    </row>
    <row r="463" spans="14:15" x14ac:dyDescent="0.35">
      <c r="N463">
        <v>462</v>
      </c>
      <c r="O463">
        <v>1557987.6083658366</v>
      </c>
    </row>
    <row r="464" spans="14:15" x14ac:dyDescent="0.35">
      <c r="N464">
        <v>463</v>
      </c>
      <c r="O464">
        <v>1519393.78713925</v>
      </c>
    </row>
    <row r="465" spans="14:15" x14ac:dyDescent="0.35">
      <c r="N465">
        <v>464</v>
      </c>
      <c r="O465">
        <v>1523787.6491533122</v>
      </c>
    </row>
    <row r="466" spans="14:15" x14ac:dyDescent="0.35">
      <c r="N466">
        <v>465</v>
      </c>
      <c r="O466">
        <v>1518984.9512941742</v>
      </c>
    </row>
    <row r="467" spans="14:15" x14ac:dyDescent="0.35">
      <c r="N467">
        <v>466</v>
      </c>
      <c r="O467">
        <v>1542828.6974675618</v>
      </c>
    </row>
    <row r="468" spans="14:15" x14ac:dyDescent="0.35">
      <c r="N468">
        <v>467</v>
      </c>
      <c r="O468">
        <v>1579391.84292954</v>
      </c>
    </row>
    <row r="469" spans="14:15" x14ac:dyDescent="0.35">
      <c r="N469">
        <v>468</v>
      </c>
      <c r="O469">
        <v>1535668.0025144201</v>
      </c>
    </row>
    <row r="470" spans="14:15" x14ac:dyDescent="0.35">
      <c r="N470">
        <v>469</v>
      </c>
      <c r="O470">
        <v>1449679.4394827881</v>
      </c>
    </row>
    <row r="471" spans="14:15" x14ac:dyDescent="0.35">
      <c r="N471">
        <v>470</v>
      </c>
      <c r="O471">
        <v>1537728.8158817827</v>
      </c>
    </row>
    <row r="472" spans="14:15" x14ac:dyDescent="0.35">
      <c r="N472">
        <v>471</v>
      </c>
      <c r="O472">
        <v>1586306.3461692093</v>
      </c>
    </row>
    <row r="473" spans="14:15" x14ac:dyDescent="0.35">
      <c r="N473">
        <v>472</v>
      </c>
      <c r="O473">
        <v>1532037.852951386</v>
      </c>
    </row>
    <row r="474" spans="14:15" x14ac:dyDescent="0.35">
      <c r="N474">
        <v>473</v>
      </c>
      <c r="O474">
        <v>1551906.6107305549</v>
      </c>
    </row>
    <row r="475" spans="14:15" x14ac:dyDescent="0.35">
      <c r="N475">
        <v>474</v>
      </c>
      <c r="O475">
        <v>1526021.6540357866</v>
      </c>
    </row>
    <row r="476" spans="14:15" x14ac:dyDescent="0.35">
      <c r="N476">
        <v>475</v>
      </c>
      <c r="O476">
        <v>1564046.6241054644</v>
      </c>
    </row>
    <row r="477" spans="14:15" x14ac:dyDescent="0.35">
      <c r="N477">
        <v>476</v>
      </c>
      <c r="O477">
        <v>1552042.6734518167</v>
      </c>
    </row>
    <row r="478" spans="14:15" x14ac:dyDescent="0.35">
      <c r="N478">
        <v>477</v>
      </c>
      <c r="O478">
        <v>1544470.9508505689</v>
      </c>
    </row>
    <row r="479" spans="14:15" x14ac:dyDescent="0.35">
      <c r="N479">
        <v>478</v>
      </c>
      <c r="O479">
        <v>1554854.7793489662</v>
      </c>
    </row>
    <row r="480" spans="14:15" x14ac:dyDescent="0.35">
      <c r="N480">
        <v>479</v>
      </c>
      <c r="O480">
        <v>1580715.7489770711</v>
      </c>
    </row>
    <row r="481" spans="14:15" x14ac:dyDescent="0.35">
      <c r="N481">
        <v>480</v>
      </c>
      <c r="O481">
        <v>1500292.0906072261</v>
      </c>
    </row>
    <row r="482" spans="14:15" x14ac:dyDescent="0.35">
      <c r="N482">
        <v>481</v>
      </c>
      <c r="O482">
        <v>1498554.8540492898</v>
      </c>
    </row>
    <row r="483" spans="14:15" x14ac:dyDescent="0.35">
      <c r="N483">
        <v>482</v>
      </c>
      <c r="O483">
        <v>1554009.2901569398</v>
      </c>
    </row>
    <row r="484" spans="14:15" x14ac:dyDescent="0.35">
      <c r="N484">
        <v>483</v>
      </c>
      <c r="O484">
        <v>1567888.2729612631</v>
      </c>
    </row>
    <row r="485" spans="14:15" x14ac:dyDescent="0.35">
      <c r="N485">
        <v>484</v>
      </c>
      <c r="O485">
        <v>1538907.1042985483</v>
      </c>
    </row>
    <row r="486" spans="14:15" x14ac:dyDescent="0.35">
      <c r="N486">
        <v>485</v>
      </c>
      <c r="O486">
        <v>1491910.2169243786</v>
      </c>
    </row>
    <row r="487" spans="14:15" x14ac:dyDescent="0.35">
      <c r="N487">
        <v>486</v>
      </c>
      <c r="O487">
        <v>1579291.9242938277</v>
      </c>
    </row>
    <row r="488" spans="14:15" x14ac:dyDescent="0.35">
      <c r="N488">
        <v>487</v>
      </c>
      <c r="O488">
        <v>1554444.8510050301</v>
      </c>
    </row>
    <row r="489" spans="14:15" x14ac:dyDescent="0.35">
      <c r="N489">
        <v>488</v>
      </c>
      <c r="O489">
        <v>1516934.3195565473</v>
      </c>
    </row>
    <row r="490" spans="14:15" x14ac:dyDescent="0.35">
      <c r="N490">
        <v>489</v>
      </c>
      <c r="O490">
        <v>1563914.5381795112</v>
      </c>
    </row>
    <row r="491" spans="14:15" x14ac:dyDescent="0.35">
      <c r="N491">
        <v>490</v>
      </c>
      <c r="O491">
        <v>1537055.0502562968</v>
      </c>
    </row>
    <row r="492" spans="14:15" x14ac:dyDescent="0.35">
      <c r="N492">
        <v>491</v>
      </c>
      <c r="O492">
        <v>1538035.4492669904</v>
      </c>
    </row>
    <row r="493" spans="14:15" x14ac:dyDescent="0.35">
      <c r="N493">
        <v>492</v>
      </c>
      <c r="O493">
        <v>1494380.3015385275</v>
      </c>
    </row>
    <row r="494" spans="14:15" x14ac:dyDescent="0.35">
      <c r="N494">
        <v>493</v>
      </c>
      <c r="O494">
        <v>1524761.9746437895</v>
      </c>
    </row>
    <row r="495" spans="14:15" x14ac:dyDescent="0.35">
      <c r="N495">
        <v>494</v>
      </c>
      <c r="O495">
        <v>1541201.3421026792</v>
      </c>
    </row>
    <row r="496" spans="14:15" x14ac:dyDescent="0.35">
      <c r="N496">
        <v>495</v>
      </c>
      <c r="O496">
        <v>1583504.6537941077</v>
      </c>
    </row>
    <row r="497" spans="14:15" x14ac:dyDescent="0.35">
      <c r="N497">
        <v>496</v>
      </c>
      <c r="O497">
        <v>1522344.0222264938</v>
      </c>
    </row>
    <row r="498" spans="14:15" x14ac:dyDescent="0.35">
      <c r="N498">
        <v>497</v>
      </c>
      <c r="O498">
        <v>1535404.466232032</v>
      </c>
    </row>
    <row r="499" spans="14:15" x14ac:dyDescent="0.35">
      <c r="N499">
        <v>498</v>
      </c>
      <c r="O499">
        <v>1536273.9737825338</v>
      </c>
    </row>
    <row r="500" spans="14:15" x14ac:dyDescent="0.35">
      <c r="N500">
        <v>499</v>
      </c>
      <c r="O500">
        <v>1495395.6631504954</v>
      </c>
    </row>
    <row r="501" spans="14:15" x14ac:dyDescent="0.35">
      <c r="N501">
        <v>500</v>
      </c>
      <c r="O501">
        <v>1623289.1110024781</v>
      </c>
    </row>
    <row r="502" spans="14:15" x14ac:dyDescent="0.35">
      <c r="N502">
        <v>501</v>
      </c>
      <c r="O502">
        <v>1550294.178365587</v>
      </c>
    </row>
    <row r="503" spans="14:15" x14ac:dyDescent="0.35">
      <c r="N503">
        <v>502</v>
      </c>
      <c r="O503">
        <v>1473005.4459108319</v>
      </c>
    </row>
    <row r="504" spans="14:15" x14ac:dyDescent="0.35">
      <c r="N504">
        <v>503</v>
      </c>
      <c r="O504">
        <v>1579244.8282989445</v>
      </c>
    </row>
    <row r="505" spans="14:15" x14ac:dyDescent="0.35">
      <c r="N505">
        <v>504</v>
      </c>
      <c r="O505">
        <v>1477812.2137982782</v>
      </c>
    </row>
    <row r="506" spans="14:15" x14ac:dyDescent="0.35">
      <c r="N506">
        <v>505</v>
      </c>
      <c r="O506">
        <v>1508124.3136724073</v>
      </c>
    </row>
    <row r="507" spans="14:15" x14ac:dyDescent="0.35">
      <c r="N507">
        <v>506</v>
      </c>
      <c r="O507">
        <v>1596013.1940654318</v>
      </c>
    </row>
    <row r="508" spans="14:15" x14ac:dyDescent="0.35">
      <c r="N508">
        <v>507</v>
      </c>
      <c r="O508">
        <v>1522019.9744216814</v>
      </c>
    </row>
    <row r="509" spans="14:15" x14ac:dyDescent="0.35">
      <c r="N509">
        <v>508</v>
      </c>
      <c r="O509">
        <v>1536156.2614897494</v>
      </c>
    </row>
    <row r="510" spans="14:15" x14ac:dyDescent="0.35">
      <c r="N510">
        <v>509</v>
      </c>
      <c r="O510">
        <v>1597646.4479873271</v>
      </c>
    </row>
    <row r="511" spans="14:15" x14ac:dyDescent="0.35">
      <c r="N511">
        <v>510</v>
      </c>
      <c r="O511">
        <v>1490746.6345571913</v>
      </c>
    </row>
    <row r="512" spans="14:15" x14ac:dyDescent="0.35">
      <c r="N512">
        <v>511</v>
      </c>
      <c r="O512">
        <v>1559354.6995057412</v>
      </c>
    </row>
    <row r="513" spans="14:15" x14ac:dyDescent="0.35">
      <c r="N513">
        <v>512</v>
      </c>
      <c r="O513">
        <v>1585841.129338888</v>
      </c>
    </row>
    <row r="514" spans="14:15" x14ac:dyDescent="0.35">
      <c r="N514">
        <v>513</v>
      </c>
      <c r="O514">
        <v>1553511.5839158723</v>
      </c>
    </row>
    <row r="515" spans="14:15" x14ac:dyDescent="0.35">
      <c r="N515">
        <v>514</v>
      </c>
      <c r="O515">
        <v>1523625.8605049367</v>
      </c>
    </row>
    <row r="516" spans="14:15" x14ac:dyDescent="0.35">
      <c r="N516">
        <v>515</v>
      </c>
      <c r="O516">
        <v>1567109.6498279262</v>
      </c>
    </row>
    <row r="517" spans="14:15" x14ac:dyDescent="0.35">
      <c r="N517">
        <v>516</v>
      </c>
      <c r="O517">
        <v>1539611.8981635903</v>
      </c>
    </row>
    <row r="518" spans="14:15" x14ac:dyDescent="0.35">
      <c r="N518">
        <v>517</v>
      </c>
      <c r="O518">
        <v>1523060.2769015983</v>
      </c>
    </row>
    <row r="519" spans="14:15" x14ac:dyDescent="0.35">
      <c r="N519">
        <v>518</v>
      </c>
      <c r="O519">
        <v>1577298.9228998532</v>
      </c>
    </row>
    <row r="520" spans="14:15" x14ac:dyDescent="0.35">
      <c r="N520">
        <v>519</v>
      </c>
      <c r="O520">
        <v>1514188.8422551074</v>
      </c>
    </row>
    <row r="521" spans="14:15" x14ac:dyDescent="0.35">
      <c r="N521">
        <v>520</v>
      </c>
      <c r="O521">
        <v>1538729.5339251775</v>
      </c>
    </row>
    <row r="522" spans="14:15" x14ac:dyDescent="0.35">
      <c r="N522">
        <v>521</v>
      </c>
      <c r="O522">
        <v>1474884.716689971</v>
      </c>
    </row>
    <row r="523" spans="14:15" x14ac:dyDescent="0.35">
      <c r="N523">
        <v>522</v>
      </c>
      <c r="O523">
        <v>1512939.340953005</v>
      </c>
    </row>
    <row r="524" spans="14:15" x14ac:dyDescent="0.35">
      <c r="N524">
        <v>523</v>
      </c>
      <c r="O524">
        <v>1582159.7499071714</v>
      </c>
    </row>
    <row r="525" spans="14:15" x14ac:dyDescent="0.35">
      <c r="N525">
        <v>524</v>
      </c>
      <c r="O525">
        <v>1530267.6218583949</v>
      </c>
    </row>
    <row r="526" spans="14:15" x14ac:dyDescent="0.35">
      <c r="N526">
        <v>525</v>
      </c>
      <c r="O526">
        <v>1599726.3570742696</v>
      </c>
    </row>
    <row r="527" spans="14:15" x14ac:dyDescent="0.35">
      <c r="N527">
        <v>526</v>
      </c>
      <c r="O527">
        <v>1542527.773643997</v>
      </c>
    </row>
    <row r="528" spans="14:15" x14ac:dyDescent="0.35">
      <c r="N528">
        <v>527</v>
      </c>
      <c r="O528">
        <v>1585759.3142511598</v>
      </c>
    </row>
    <row r="529" spans="14:15" x14ac:dyDescent="0.35">
      <c r="N529">
        <v>528</v>
      </c>
      <c r="O529">
        <v>1565140.484714038</v>
      </c>
    </row>
    <row r="530" spans="14:15" x14ac:dyDescent="0.35">
      <c r="N530">
        <v>529</v>
      </c>
      <c r="O530">
        <v>1505520.3456576457</v>
      </c>
    </row>
    <row r="531" spans="14:15" x14ac:dyDescent="0.35">
      <c r="N531">
        <v>530</v>
      </c>
      <c r="O531">
        <v>1556264.498539095</v>
      </c>
    </row>
    <row r="532" spans="14:15" x14ac:dyDescent="0.35">
      <c r="N532">
        <v>531</v>
      </c>
      <c r="O532">
        <v>1612605.6102530842</v>
      </c>
    </row>
    <row r="533" spans="14:15" x14ac:dyDescent="0.35">
      <c r="N533">
        <v>532</v>
      </c>
      <c r="O533">
        <v>1527891.39741202</v>
      </c>
    </row>
    <row r="534" spans="14:15" x14ac:dyDescent="0.35">
      <c r="N534">
        <v>533</v>
      </c>
      <c r="O534">
        <v>1557123.5989822103</v>
      </c>
    </row>
    <row r="535" spans="14:15" x14ac:dyDescent="0.35">
      <c r="N535">
        <v>534</v>
      </c>
      <c r="O535">
        <v>1517863.2019359854</v>
      </c>
    </row>
    <row r="536" spans="14:15" x14ac:dyDescent="0.35">
      <c r="N536">
        <v>535</v>
      </c>
      <c r="O536">
        <v>1524350.0145405217</v>
      </c>
    </row>
    <row r="537" spans="14:15" x14ac:dyDescent="0.35">
      <c r="N537">
        <v>536</v>
      </c>
      <c r="O537">
        <v>1542447.7676263943</v>
      </c>
    </row>
    <row r="538" spans="14:15" x14ac:dyDescent="0.35">
      <c r="N538">
        <v>537</v>
      </c>
      <c r="O538">
        <v>1602885.169405154</v>
      </c>
    </row>
    <row r="539" spans="14:15" x14ac:dyDescent="0.35">
      <c r="N539">
        <v>538</v>
      </c>
      <c r="O539">
        <v>1571682.9625486105</v>
      </c>
    </row>
    <row r="540" spans="14:15" x14ac:dyDescent="0.35">
      <c r="N540">
        <v>539</v>
      </c>
      <c r="O540">
        <v>1529112.5002517425</v>
      </c>
    </row>
    <row r="541" spans="14:15" x14ac:dyDescent="0.35">
      <c r="N541">
        <v>540</v>
      </c>
      <c r="O541">
        <v>1532303.3637715578</v>
      </c>
    </row>
    <row r="542" spans="14:15" x14ac:dyDescent="0.35">
      <c r="N542">
        <v>541</v>
      </c>
      <c r="O542">
        <v>1565232.8918578713</v>
      </c>
    </row>
    <row r="543" spans="14:15" x14ac:dyDescent="0.35">
      <c r="N543">
        <v>542</v>
      </c>
      <c r="O543">
        <v>1583117.1042964221</v>
      </c>
    </row>
    <row r="544" spans="14:15" x14ac:dyDescent="0.35">
      <c r="N544">
        <v>543</v>
      </c>
      <c r="O544">
        <v>1602011.9861063152</v>
      </c>
    </row>
    <row r="545" spans="14:15" x14ac:dyDescent="0.35">
      <c r="N545">
        <v>544</v>
      </c>
      <c r="O545">
        <v>1583830.1706667331</v>
      </c>
    </row>
    <row r="546" spans="14:15" x14ac:dyDescent="0.35">
      <c r="N546">
        <v>545</v>
      </c>
      <c r="O546">
        <v>1524788.7698084065</v>
      </c>
    </row>
    <row r="547" spans="14:15" x14ac:dyDescent="0.35">
      <c r="N547">
        <v>546</v>
      </c>
      <c r="O547">
        <v>1510187.0114690317</v>
      </c>
    </row>
    <row r="548" spans="14:15" x14ac:dyDescent="0.35">
      <c r="N548">
        <v>547</v>
      </c>
      <c r="O548">
        <v>1567445.2729343895</v>
      </c>
    </row>
    <row r="549" spans="14:15" x14ac:dyDescent="0.35">
      <c r="N549">
        <v>548</v>
      </c>
      <c r="O549">
        <v>1490660.0282710772</v>
      </c>
    </row>
    <row r="550" spans="14:15" x14ac:dyDescent="0.35">
      <c r="N550">
        <v>549</v>
      </c>
      <c r="O550">
        <v>1525032.2275557837</v>
      </c>
    </row>
    <row r="551" spans="14:15" x14ac:dyDescent="0.35">
      <c r="N551">
        <v>550</v>
      </c>
      <c r="O551">
        <v>1572727.5332230148</v>
      </c>
    </row>
    <row r="552" spans="14:15" x14ac:dyDescent="0.35">
      <c r="N552">
        <v>551</v>
      </c>
      <c r="O552">
        <v>1596248.1214944683</v>
      </c>
    </row>
    <row r="553" spans="14:15" x14ac:dyDescent="0.35">
      <c r="N553">
        <v>552</v>
      </c>
      <c r="O553">
        <v>1556434.8358723952</v>
      </c>
    </row>
    <row r="554" spans="14:15" x14ac:dyDescent="0.35">
      <c r="N554">
        <v>553</v>
      </c>
      <c r="O554">
        <v>1482713.3644099904</v>
      </c>
    </row>
    <row r="555" spans="14:15" x14ac:dyDescent="0.35">
      <c r="N555">
        <v>554</v>
      </c>
      <c r="O555">
        <v>1593453.3021157398</v>
      </c>
    </row>
    <row r="556" spans="14:15" x14ac:dyDescent="0.35">
      <c r="N556">
        <v>555</v>
      </c>
      <c r="O556">
        <v>1556112.2185783256</v>
      </c>
    </row>
    <row r="557" spans="14:15" x14ac:dyDescent="0.35">
      <c r="N557">
        <v>556</v>
      </c>
      <c r="O557">
        <v>1554200.530618859</v>
      </c>
    </row>
    <row r="558" spans="14:15" x14ac:dyDescent="0.35">
      <c r="N558">
        <v>557</v>
      </c>
      <c r="O558">
        <v>1551854.1836030763</v>
      </c>
    </row>
    <row r="559" spans="14:15" x14ac:dyDescent="0.35">
      <c r="N559">
        <v>558</v>
      </c>
      <c r="O559">
        <v>1581457.3719504105</v>
      </c>
    </row>
    <row r="560" spans="14:15" x14ac:dyDescent="0.35">
      <c r="N560">
        <v>559</v>
      </c>
      <c r="O560">
        <v>1554524.3679230276</v>
      </c>
    </row>
    <row r="561" spans="14:15" x14ac:dyDescent="0.35">
      <c r="N561">
        <v>560</v>
      </c>
      <c r="O561">
        <v>1582531.7804659989</v>
      </c>
    </row>
    <row r="562" spans="14:15" x14ac:dyDescent="0.35">
      <c r="N562">
        <v>561</v>
      </c>
      <c r="O562">
        <v>1498424.8417826227</v>
      </c>
    </row>
    <row r="563" spans="14:15" x14ac:dyDescent="0.35">
      <c r="N563">
        <v>562</v>
      </c>
      <c r="O563">
        <v>1503162.9638040485</v>
      </c>
    </row>
    <row r="564" spans="14:15" x14ac:dyDescent="0.35">
      <c r="N564">
        <v>563</v>
      </c>
      <c r="O564">
        <v>1532716.5933614199</v>
      </c>
    </row>
    <row r="565" spans="14:15" x14ac:dyDescent="0.35">
      <c r="N565">
        <v>564</v>
      </c>
      <c r="O565">
        <v>1581071.9870233769</v>
      </c>
    </row>
    <row r="566" spans="14:15" x14ac:dyDescent="0.35">
      <c r="N566">
        <v>565</v>
      </c>
      <c r="O566">
        <v>1538280.2420329473</v>
      </c>
    </row>
    <row r="567" spans="14:15" x14ac:dyDescent="0.35">
      <c r="N567">
        <v>566</v>
      </c>
      <c r="O567">
        <v>1528676.4366903591</v>
      </c>
    </row>
    <row r="568" spans="14:15" x14ac:dyDescent="0.35">
      <c r="N568">
        <v>567</v>
      </c>
      <c r="O568">
        <v>1506011.3088365078</v>
      </c>
    </row>
    <row r="569" spans="14:15" x14ac:dyDescent="0.35">
      <c r="N569">
        <v>568</v>
      </c>
      <c r="O569">
        <v>1535007.1011129499</v>
      </c>
    </row>
    <row r="570" spans="14:15" x14ac:dyDescent="0.35">
      <c r="N570">
        <v>569</v>
      </c>
      <c r="O570">
        <v>1536600.2498489562</v>
      </c>
    </row>
    <row r="571" spans="14:15" x14ac:dyDescent="0.35">
      <c r="N571">
        <v>570</v>
      </c>
      <c r="O571">
        <v>1491757.3137415361</v>
      </c>
    </row>
    <row r="572" spans="14:15" x14ac:dyDescent="0.35">
      <c r="N572">
        <v>571</v>
      </c>
      <c r="O572">
        <v>1485914.1783690359</v>
      </c>
    </row>
    <row r="573" spans="14:15" x14ac:dyDescent="0.35">
      <c r="N573">
        <v>572</v>
      </c>
      <c r="O573">
        <v>1568268.591564049</v>
      </c>
    </row>
    <row r="574" spans="14:15" x14ac:dyDescent="0.35">
      <c r="N574">
        <v>573</v>
      </c>
      <c r="O574">
        <v>1543618.0505396766</v>
      </c>
    </row>
    <row r="575" spans="14:15" x14ac:dyDescent="0.35">
      <c r="N575">
        <v>574</v>
      </c>
      <c r="O575">
        <v>1537040.5026497662</v>
      </c>
    </row>
    <row r="576" spans="14:15" x14ac:dyDescent="0.35">
      <c r="N576">
        <v>575</v>
      </c>
      <c r="O576">
        <v>1543724.1031236795</v>
      </c>
    </row>
    <row r="577" spans="14:15" x14ac:dyDescent="0.35">
      <c r="N577">
        <v>576</v>
      </c>
      <c r="O577">
        <v>1516662.6963428385</v>
      </c>
    </row>
    <row r="578" spans="14:15" x14ac:dyDescent="0.35">
      <c r="N578">
        <v>577</v>
      </c>
      <c r="O578">
        <v>1500181.1124305243</v>
      </c>
    </row>
    <row r="579" spans="14:15" x14ac:dyDescent="0.35">
      <c r="N579">
        <v>578</v>
      </c>
      <c r="O579">
        <v>1483537.6011132745</v>
      </c>
    </row>
    <row r="580" spans="14:15" x14ac:dyDescent="0.35">
      <c r="N580">
        <v>579</v>
      </c>
      <c r="O580">
        <v>1524407.3823511382</v>
      </c>
    </row>
    <row r="581" spans="14:15" x14ac:dyDescent="0.35">
      <c r="N581">
        <v>580</v>
      </c>
      <c r="O581">
        <v>1550096.9465971091</v>
      </c>
    </row>
    <row r="582" spans="14:15" x14ac:dyDescent="0.35">
      <c r="N582">
        <v>581</v>
      </c>
      <c r="O582">
        <v>1487070.1794534705</v>
      </c>
    </row>
    <row r="583" spans="14:15" x14ac:dyDescent="0.35">
      <c r="N583">
        <v>582</v>
      </c>
      <c r="O583">
        <v>1581190.3009904139</v>
      </c>
    </row>
    <row r="584" spans="14:15" x14ac:dyDescent="0.35">
      <c r="N584">
        <v>583</v>
      </c>
      <c r="O584">
        <v>1544330.4781630095</v>
      </c>
    </row>
    <row r="585" spans="14:15" x14ac:dyDescent="0.35">
      <c r="N585">
        <v>584</v>
      </c>
      <c r="O585">
        <v>1625061.4333050759</v>
      </c>
    </row>
    <row r="586" spans="14:15" x14ac:dyDescent="0.35">
      <c r="N586">
        <v>585</v>
      </c>
      <c r="O586">
        <v>1528920.7770499585</v>
      </c>
    </row>
    <row r="587" spans="14:15" x14ac:dyDescent="0.35">
      <c r="N587">
        <v>586</v>
      </c>
      <c r="O587">
        <v>1542216.5817769882</v>
      </c>
    </row>
    <row r="588" spans="14:15" x14ac:dyDescent="0.35">
      <c r="N588">
        <v>587</v>
      </c>
      <c r="O588">
        <v>1574131.021028016</v>
      </c>
    </row>
    <row r="589" spans="14:15" x14ac:dyDescent="0.35">
      <c r="N589">
        <v>588</v>
      </c>
      <c r="O589">
        <v>1544205.1823028631</v>
      </c>
    </row>
    <row r="590" spans="14:15" x14ac:dyDescent="0.35">
      <c r="N590">
        <v>589</v>
      </c>
      <c r="O590">
        <v>1451364.8577298278</v>
      </c>
    </row>
    <row r="591" spans="14:15" x14ac:dyDescent="0.35">
      <c r="N591">
        <v>590</v>
      </c>
      <c r="O591">
        <v>1578918.4385849868</v>
      </c>
    </row>
    <row r="592" spans="14:15" x14ac:dyDescent="0.35">
      <c r="N592">
        <v>591</v>
      </c>
      <c r="O592">
        <v>1527048.1925286073</v>
      </c>
    </row>
    <row r="593" spans="14:15" x14ac:dyDescent="0.35">
      <c r="N593">
        <v>592</v>
      </c>
      <c r="O593">
        <v>1576196.7825272745</v>
      </c>
    </row>
    <row r="594" spans="14:15" x14ac:dyDescent="0.35">
      <c r="N594">
        <v>593</v>
      </c>
      <c r="O594">
        <v>1603345.0968993951</v>
      </c>
    </row>
    <row r="595" spans="14:15" x14ac:dyDescent="0.35">
      <c r="N595">
        <v>594</v>
      </c>
      <c r="O595">
        <v>1577488.4479689305</v>
      </c>
    </row>
    <row r="596" spans="14:15" x14ac:dyDescent="0.35">
      <c r="N596">
        <v>595</v>
      </c>
      <c r="O596">
        <v>1547672.9478701423</v>
      </c>
    </row>
    <row r="597" spans="14:15" x14ac:dyDescent="0.35">
      <c r="N597">
        <v>596</v>
      </c>
      <c r="O597">
        <v>1576464.3012905903</v>
      </c>
    </row>
    <row r="598" spans="14:15" x14ac:dyDescent="0.35">
      <c r="N598">
        <v>597</v>
      </c>
      <c r="O598">
        <v>1506819.7321051129</v>
      </c>
    </row>
    <row r="599" spans="14:15" x14ac:dyDescent="0.35">
      <c r="N599">
        <v>598</v>
      </c>
      <c r="O599">
        <v>1547270.9291528568</v>
      </c>
    </row>
    <row r="600" spans="14:15" x14ac:dyDescent="0.35">
      <c r="N600">
        <v>599</v>
      </c>
      <c r="O600">
        <v>1570468.6073267455</v>
      </c>
    </row>
    <row r="601" spans="14:15" x14ac:dyDescent="0.35">
      <c r="N601">
        <v>600</v>
      </c>
      <c r="O601">
        <v>1531853.3017212625</v>
      </c>
    </row>
    <row r="602" spans="14:15" x14ac:dyDescent="0.35">
      <c r="N602">
        <v>601</v>
      </c>
      <c r="O602">
        <v>1534457.0235978225</v>
      </c>
    </row>
    <row r="603" spans="14:15" x14ac:dyDescent="0.35">
      <c r="N603">
        <v>602</v>
      </c>
      <c r="O603">
        <v>1528059.7086070967</v>
      </c>
    </row>
    <row r="604" spans="14:15" x14ac:dyDescent="0.35">
      <c r="N604">
        <v>603</v>
      </c>
      <c r="O604">
        <v>1490202.8981199809</v>
      </c>
    </row>
    <row r="605" spans="14:15" x14ac:dyDescent="0.35">
      <c r="N605">
        <v>604</v>
      </c>
      <c r="O605">
        <v>1523718.9941305299</v>
      </c>
    </row>
    <row r="606" spans="14:15" x14ac:dyDescent="0.35">
      <c r="N606">
        <v>605</v>
      </c>
      <c r="O606">
        <v>1596668.7656139054</v>
      </c>
    </row>
    <row r="607" spans="14:15" x14ac:dyDescent="0.35">
      <c r="N607">
        <v>606</v>
      </c>
      <c r="O607">
        <v>1553888.8997644715</v>
      </c>
    </row>
    <row r="608" spans="14:15" x14ac:dyDescent="0.35">
      <c r="N608">
        <v>607</v>
      </c>
      <c r="O608">
        <v>1472787.6423667693</v>
      </c>
    </row>
    <row r="609" spans="14:15" x14ac:dyDescent="0.35">
      <c r="N609">
        <v>608</v>
      </c>
      <c r="O609">
        <v>1517811.0170455293</v>
      </c>
    </row>
    <row r="610" spans="14:15" x14ac:dyDescent="0.35">
      <c r="N610">
        <v>609</v>
      </c>
      <c r="O610">
        <v>1527305.3295425617</v>
      </c>
    </row>
    <row r="611" spans="14:15" x14ac:dyDescent="0.35">
      <c r="N611">
        <v>610</v>
      </c>
      <c r="O611">
        <v>1536745.0648199827</v>
      </c>
    </row>
    <row r="612" spans="14:15" x14ac:dyDescent="0.35">
      <c r="N612">
        <v>611</v>
      </c>
      <c r="O612">
        <v>1520433.3666029871</v>
      </c>
    </row>
    <row r="613" spans="14:15" x14ac:dyDescent="0.35">
      <c r="N613">
        <v>612</v>
      </c>
      <c r="O613">
        <v>1538182.0259485578</v>
      </c>
    </row>
    <row r="614" spans="14:15" x14ac:dyDescent="0.35">
      <c r="N614">
        <v>613</v>
      </c>
      <c r="O614">
        <v>1527838.0222695163</v>
      </c>
    </row>
    <row r="615" spans="14:15" x14ac:dyDescent="0.35">
      <c r="N615">
        <v>614</v>
      </c>
      <c r="O615">
        <v>1554889.6822317094</v>
      </c>
    </row>
    <row r="616" spans="14:15" x14ac:dyDescent="0.35">
      <c r="N616">
        <v>615</v>
      </c>
      <c r="O616">
        <v>1573493.9874005846</v>
      </c>
    </row>
    <row r="617" spans="14:15" x14ac:dyDescent="0.35">
      <c r="N617">
        <v>616</v>
      </c>
      <c r="O617">
        <v>1567444.8624929441</v>
      </c>
    </row>
    <row r="618" spans="14:15" x14ac:dyDescent="0.35">
      <c r="N618">
        <v>617</v>
      </c>
      <c r="O618">
        <v>1518414.4755320598</v>
      </c>
    </row>
    <row r="619" spans="14:15" x14ac:dyDescent="0.35">
      <c r="N619">
        <v>618</v>
      </c>
      <c r="O619">
        <v>1545270.1112685231</v>
      </c>
    </row>
    <row r="620" spans="14:15" x14ac:dyDescent="0.35">
      <c r="N620">
        <v>619</v>
      </c>
      <c r="O620">
        <v>1563459.5349097073</v>
      </c>
    </row>
    <row r="621" spans="14:15" x14ac:dyDescent="0.35">
      <c r="N621">
        <v>620</v>
      </c>
      <c r="O621">
        <v>1556909.183440424</v>
      </c>
    </row>
    <row r="622" spans="14:15" x14ac:dyDescent="0.35">
      <c r="N622">
        <v>621</v>
      </c>
      <c r="O622">
        <v>1544079.5571020767</v>
      </c>
    </row>
    <row r="623" spans="14:15" x14ac:dyDescent="0.35">
      <c r="N623">
        <v>622</v>
      </c>
      <c r="O623">
        <v>1553626.4306395224</v>
      </c>
    </row>
    <row r="624" spans="14:15" x14ac:dyDescent="0.35">
      <c r="N624">
        <v>623</v>
      </c>
      <c r="O624">
        <v>1578185.987861932</v>
      </c>
    </row>
    <row r="625" spans="14:15" x14ac:dyDescent="0.35">
      <c r="N625">
        <v>624</v>
      </c>
      <c r="O625">
        <v>1522175.867784668</v>
      </c>
    </row>
    <row r="626" spans="14:15" x14ac:dyDescent="0.35">
      <c r="N626">
        <v>625</v>
      </c>
      <c r="O626">
        <v>1502428.3911185442</v>
      </c>
    </row>
    <row r="627" spans="14:15" x14ac:dyDescent="0.35">
      <c r="N627">
        <v>626</v>
      </c>
      <c r="O627">
        <v>1546049.380933214</v>
      </c>
    </row>
    <row r="628" spans="14:15" x14ac:dyDescent="0.35">
      <c r="N628">
        <v>627</v>
      </c>
      <c r="O628">
        <v>1576744.2569803577</v>
      </c>
    </row>
    <row r="629" spans="14:15" x14ac:dyDescent="0.35">
      <c r="N629">
        <v>628</v>
      </c>
      <c r="O629">
        <v>1567411.9257422581</v>
      </c>
    </row>
    <row r="630" spans="14:15" x14ac:dyDescent="0.35">
      <c r="N630">
        <v>629</v>
      </c>
      <c r="O630">
        <v>1583571.4392853107</v>
      </c>
    </row>
    <row r="631" spans="14:15" x14ac:dyDescent="0.35">
      <c r="N631">
        <v>630</v>
      </c>
      <c r="O631">
        <v>1547060.0874263553</v>
      </c>
    </row>
    <row r="632" spans="14:15" x14ac:dyDescent="0.35">
      <c r="N632">
        <v>631</v>
      </c>
      <c r="O632">
        <v>1488580.0754358396</v>
      </c>
    </row>
    <row r="633" spans="14:15" x14ac:dyDescent="0.35">
      <c r="N633">
        <v>632</v>
      </c>
      <c r="O633">
        <v>1530016.3304146926</v>
      </c>
    </row>
    <row r="634" spans="14:15" x14ac:dyDescent="0.35">
      <c r="N634">
        <v>633</v>
      </c>
      <c r="O634">
        <v>1547492.9043073545</v>
      </c>
    </row>
    <row r="635" spans="14:15" x14ac:dyDescent="0.35">
      <c r="N635">
        <v>634</v>
      </c>
      <c r="O635">
        <v>1512909.6836893142</v>
      </c>
    </row>
    <row r="636" spans="14:15" x14ac:dyDescent="0.35">
      <c r="N636">
        <v>635</v>
      </c>
      <c r="O636">
        <v>1586482.4731673144</v>
      </c>
    </row>
    <row r="637" spans="14:15" x14ac:dyDescent="0.35">
      <c r="N637">
        <v>636</v>
      </c>
      <c r="O637">
        <v>1504439.5289291588</v>
      </c>
    </row>
    <row r="638" spans="14:15" x14ac:dyDescent="0.35">
      <c r="N638">
        <v>637</v>
      </c>
      <c r="O638">
        <v>1547039.2202604129</v>
      </c>
    </row>
    <row r="639" spans="14:15" x14ac:dyDescent="0.35">
      <c r="N639">
        <v>638</v>
      </c>
      <c r="O639">
        <v>1563678.701703565</v>
      </c>
    </row>
    <row r="640" spans="14:15" x14ac:dyDescent="0.35">
      <c r="N640">
        <v>639</v>
      </c>
      <c r="O640">
        <v>1534573.9409235241</v>
      </c>
    </row>
    <row r="641" spans="14:15" x14ac:dyDescent="0.35">
      <c r="N641">
        <v>640</v>
      </c>
      <c r="O641">
        <v>1520654.2759709896</v>
      </c>
    </row>
    <row r="642" spans="14:15" x14ac:dyDescent="0.35">
      <c r="N642">
        <v>641</v>
      </c>
      <c r="O642">
        <v>1584753.993401092</v>
      </c>
    </row>
    <row r="643" spans="14:15" x14ac:dyDescent="0.35">
      <c r="N643">
        <v>642</v>
      </c>
      <c r="O643">
        <v>1550033.3990066885</v>
      </c>
    </row>
    <row r="644" spans="14:15" x14ac:dyDescent="0.35">
      <c r="N644">
        <v>643</v>
      </c>
      <c r="O644">
        <v>1543650.2420054404</v>
      </c>
    </row>
    <row r="645" spans="14:15" x14ac:dyDescent="0.35">
      <c r="N645">
        <v>644</v>
      </c>
      <c r="O645">
        <v>1476972.6590686794</v>
      </c>
    </row>
    <row r="646" spans="14:15" x14ac:dyDescent="0.35">
      <c r="N646">
        <v>645</v>
      </c>
      <c r="O646">
        <v>1515397.9434555834</v>
      </c>
    </row>
    <row r="647" spans="14:15" x14ac:dyDescent="0.35">
      <c r="N647">
        <v>646</v>
      </c>
      <c r="O647">
        <v>1529178.1798428076</v>
      </c>
    </row>
    <row r="648" spans="14:15" x14ac:dyDescent="0.35">
      <c r="N648">
        <v>647</v>
      </c>
      <c r="O648">
        <v>1527860.2384587061</v>
      </c>
    </row>
    <row r="649" spans="14:15" x14ac:dyDescent="0.35">
      <c r="N649">
        <v>648</v>
      </c>
      <c r="O649">
        <v>1569170.1738766986</v>
      </c>
    </row>
    <row r="650" spans="14:15" x14ac:dyDescent="0.35">
      <c r="N650">
        <v>649</v>
      </c>
      <c r="O650">
        <v>1538441.5618709954</v>
      </c>
    </row>
    <row r="651" spans="14:15" x14ac:dyDescent="0.35">
      <c r="N651">
        <v>650</v>
      </c>
      <c r="O651">
        <v>1560843.2293553462</v>
      </c>
    </row>
    <row r="652" spans="14:15" x14ac:dyDescent="0.35">
      <c r="N652">
        <v>651</v>
      </c>
      <c r="O652">
        <v>1590497.6271001918</v>
      </c>
    </row>
    <row r="653" spans="14:15" x14ac:dyDescent="0.35">
      <c r="N653">
        <v>652</v>
      </c>
      <c r="O653">
        <v>1540125.5471277446</v>
      </c>
    </row>
    <row r="654" spans="14:15" x14ac:dyDescent="0.35">
      <c r="N654">
        <v>653</v>
      </c>
      <c r="O654">
        <v>1510266.4365756419</v>
      </c>
    </row>
    <row r="655" spans="14:15" x14ac:dyDescent="0.35">
      <c r="N655">
        <v>654</v>
      </c>
      <c r="O655">
        <v>1565424.5349944634</v>
      </c>
    </row>
    <row r="656" spans="14:15" x14ac:dyDescent="0.35">
      <c r="N656">
        <v>655</v>
      </c>
      <c r="O656">
        <v>1571502.8977713538</v>
      </c>
    </row>
    <row r="657" spans="14:15" x14ac:dyDescent="0.35">
      <c r="N657">
        <v>656</v>
      </c>
      <c r="O657">
        <v>1595050.2211500148</v>
      </c>
    </row>
    <row r="658" spans="14:15" x14ac:dyDescent="0.35">
      <c r="N658">
        <v>657</v>
      </c>
      <c r="O658">
        <v>1538232.5250053834</v>
      </c>
    </row>
    <row r="659" spans="14:15" x14ac:dyDescent="0.35">
      <c r="N659">
        <v>658</v>
      </c>
      <c r="O659">
        <v>1553348.6945850526</v>
      </c>
    </row>
    <row r="660" spans="14:15" x14ac:dyDescent="0.35">
      <c r="N660">
        <v>659</v>
      </c>
      <c r="O660">
        <v>1505097.6189575049</v>
      </c>
    </row>
    <row r="661" spans="14:15" x14ac:dyDescent="0.35">
      <c r="N661">
        <v>660</v>
      </c>
      <c r="O661">
        <v>1578699.5624922246</v>
      </c>
    </row>
    <row r="662" spans="14:15" x14ac:dyDescent="0.35">
      <c r="N662">
        <v>661</v>
      </c>
      <c r="O662">
        <v>1581711.0647335851</v>
      </c>
    </row>
    <row r="663" spans="14:15" x14ac:dyDescent="0.35">
      <c r="N663">
        <v>662</v>
      </c>
      <c r="O663">
        <v>1580394.6225031759</v>
      </c>
    </row>
    <row r="664" spans="14:15" x14ac:dyDescent="0.35">
      <c r="N664">
        <v>663</v>
      </c>
      <c r="O664">
        <v>1535565.9424346113</v>
      </c>
    </row>
    <row r="665" spans="14:15" x14ac:dyDescent="0.35">
      <c r="N665">
        <v>664</v>
      </c>
      <c r="O665">
        <v>1533113.6465963263</v>
      </c>
    </row>
    <row r="666" spans="14:15" x14ac:dyDescent="0.35">
      <c r="N666">
        <v>665</v>
      </c>
      <c r="O666">
        <v>1557121.9860156374</v>
      </c>
    </row>
    <row r="667" spans="14:15" x14ac:dyDescent="0.35">
      <c r="N667">
        <v>666</v>
      </c>
      <c r="O667">
        <v>1528557.7294183318</v>
      </c>
    </row>
    <row r="668" spans="14:15" x14ac:dyDescent="0.35">
      <c r="N668">
        <v>667</v>
      </c>
      <c r="O668">
        <v>1522437.0687458862</v>
      </c>
    </row>
    <row r="669" spans="14:15" x14ac:dyDescent="0.35">
      <c r="N669">
        <v>668</v>
      </c>
      <c r="O669">
        <v>1590439.3300620019</v>
      </c>
    </row>
    <row r="670" spans="14:15" x14ac:dyDescent="0.35">
      <c r="N670">
        <v>669</v>
      </c>
      <c r="O670">
        <v>1584717.6925807854</v>
      </c>
    </row>
    <row r="671" spans="14:15" x14ac:dyDescent="0.35">
      <c r="N671">
        <v>670</v>
      </c>
      <c r="O671">
        <v>1554843.599466566</v>
      </c>
    </row>
    <row r="672" spans="14:15" x14ac:dyDescent="0.35">
      <c r="N672">
        <v>671</v>
      </c>
      <c r="O672">
        <v>1520727.021383526</v>
      </c>
    </row>
    <row r="673" spans="14:15" x14ac:dyDescent="0.35">
      <c r="N673">
        <v>672</v>
      </c>
      <c r="O673">
        <v>1463075.2679670774</v>
      </c>
    </row>
    <row r="674" spans="14:15" x14ac:dyDescent="0.35">
      <c r="N674">
        <v>673</v>
      </c>
      <c r="O674">
        <v>1567004.5644982469</v>
      </c>
    </row>
    <row r="675" spans="14:15" x14ac:dyDescent="0.35">
      <c r="N675">
        <v>674</v>
      </c>
      <c r="O675">
        <v>1509094.569063432</v>
      </c>
    </row>
    <row r="676" spans="14:15" x14ac:dyDescent="0.35">
      <c r="N676">
        <v>675</v>
      </c>
      <c r="O676">
        <v>1600568.5470687246</v>
      </c>
    </row>
    <row r="677" spans="14:15" x14ac:dyDescent="0.35">
      <c r="N677">
        <v>676</v>
      </c>
      <c r="O677">
        <v>1588923.9742496379</v>
      </c>
    </row>
    <row r="678" spans="14:15" x14ac:dyDescent="0.35">
      <c r="N678">
        <v>677</v>
      </c>
      <c r="O678">
        <v>1541936.0345053037</v>
      </c>
    </row>
    <row r="679" spans="14:15" x14ac:dyDescent="0.35">
      <c r="N679">
        <v>678</v>
      </c>
      <c r="O679">
        <v>1571936.3779037287</v>
      </c>
    </row>
    <row r="680" spans="14:15" x14ac:dyDescent="0.35">
      <c r="N680">
        <v>679</v>
      </c>
      <c r="O680">
        <v>1522212.6808940228</v>
      </c>
    </row>
    <row r="681" spans="14:15" x14ac:dyDescent="0.35">
      <c r="N681">
        <v>680</v>
      </c>
      <c r="O681">
        <v>1478977.0377574747</v>
      </c>
    </row>
    <row r="682" spans="14:15" x14ac:dyDescent="0.35">
      <c r="N682">
        <v>681</v>
      </c>
      <c r="O682">
        <v>1479719.3627085281</v>
      </c>
    </row>
    <row r="683" spans="14:15" x14ac:dyDescent="0.35">
      <c r="N683">
        <v>682</v>
      </c>
      <c r="O683">
        <v>1604250.0020240333</v>
      </c>
    </row>
    <row r="684" spans="14:15" x14ac:dyDescent="0.35">
      <c r="N684">
        <v>683</v>
      </c>
      <c r="O684">
        <v>1585368.6257506548</v>
      </c>
    </row>
    <row r="685" spans="14:15" x14ac:dyDescent="0.35">
      <c r="N685">
        <v>684</v>
      </c>
      <c r="O685">
        <v>1545542.6787717578</v>
      </c>
    </row>
    <row r="686" spans="14:15" x14ac:dyDescent="0.35">
      <c r="N686">
        <v>685</v>
      </c>
      <c r="O686">
        <v>1508415.6733291699</v>
      </c>
    </row>
    <row r="687" spans="14:15" x14ac:dyDescent="0.35">
      <c r="N687">
        <v>686</v>
      </c>
      <c r="O687">
        <v>1543245.5471873665</v>
      </c>
    </row>
    <row r="688" spans="14:15" x14ac:dyDescent="0.35">
      <c r="N688">
        <v>687</v>
      </c>
      <c r="O688">
        <v>1529832.1886062033</v>
      </c>
    </row>
    <row r="689" spans="14:15" x14ac:dyDescent="0.35">
      <c r="N689">
        <v>688</v>
      </c>
      <c r="O689">
        <v>1536383.9943121313</v>
      </c>
    </row>
    <row r="690" spans="14:15" x14ac:dyDescent="0.35">
      <c r="N690">
        <v>689</v>
      </c>
      <c r="O690">
        <v>1563831.7737045719</v>
      </c>
    </row>
    <row r="691" spans="14:15" x14ac:dyDescent="0.35">
      <c r="N691">
        <v>690</v>
      </c>
      <c r="O691">
        <v>1541821.7538272927</v>
      </c>
    </row>
    <row r="692" spans="14:15" x14ac:dyDescent="0.35">
      <c r="N692">
        <v>691</v>
      </c>
      <c r="O692">
        <v>1525820.3525915281</v>
      </c>
    </row>
    <row r="693" spans="14:15" x14ac:dyDescent="0.35">
      <c r="N693">
        <v>692</v>
      </c>
      <c r="O693">
        <v>1482804.4233423977</v>
      </c>
    </row>
    <row r="694" spans="14:15" x14ac:dyDescent="0.35">
      <c r="N694">
        <v>693</v>
      </c>
      <c r="O694">
        <v>1489387.345373896</v>
      </c>
    </row>
    <row r="695" spans="14:15" x14ac:dyDescent="0.35">
      <c r="N695">
        <v>694</v>
      </c>
      <c r="O695">
        <v>1500778.3096720832</v>
      </c>
    </row>
    <row r="696" spans="14:15" x14ac:dyDescent="0.35">
      <c r="N696">
        <v>695</v>
      </c>
      <c r="O696">
        <v>1494916.0901702472</v>
      </c>
    </row>
    <row r="697" spans="14:15" x14ac:dyDescent="0.35">
      <c r="N697">
        <v>696</v>
      </c>
      <c r="O697">
        <v>1503298.9369682362</v>
      </c>
    </row>
    <row r="698" spans="14:15" x14ac:dyDescent="0.35">
      <c r="N698">
        <v>697</v>
      </c>
      <c r="O698">
        <v>1549442.3821892776</v>
      </c>
    </row>
    <row r="699" spans="14:15" x14ac:dyDescent="0.35">
      <c r="N699">
        <v>698</v>
      </c>
      <c r="O699">
        <v>1511007.0709881736</v>
      </c>
    </row>
    <row r="700" spans="14:15" x14ac:dyDescent="0.35">
      <c r="N700">
        <v>699</v>
      </c>
      <c r="O700">
        <v>1555159.4181042302</v>
      </c>
    </row>
    <row r="701" spans="14:15" x14ac:dyDescent="0.35">
      <c r="N701">
        <v>700</v>
      </c>
      <c r="O701">
        <v>1537475.9462193435</v>
      </c>
    </row>
    <row r="702" spans="14:15" x14ac:dyDescent="0.35">
      <c r="N702">
        <v>701</v>
      </c>
      <c r="O702">
        <v>1637702.0969693067</v>
      </c>
    </row>
    <row r="703" spans="14:15" x14ac:dyDescent="0.35">
      <c r="N703">
        <v>702</v>
      </c>
      <c r="O703">
        <v>1505057.9476087159</v>
      </c>
    </row>
    <row r="704" spans="14:15" x14ac:dyDescent="0.35">
      <c r="N704">
        <v>703</v>
      </c>
      <c r="O704">
        <v>1526240.9603950689</v>
      </c>
    </row>
    <row r="705" spans="14:15" x14ac:dyDescent="0.35">
      <c r="N705">
        <v>704</v>
      </c>
      <c r="O705">
        <v>1444035.868210312</v>
      </c>
    </row>
    <row r="706" spans="14:15" x14ac:dyDescent="0.35">
      <c r="N706">
        <v>705</v>
      </c>
      <c r="O706">
        <v>1539556.1806620127</v>
      </c>
    </row>
    <row r="707" spans="14:15" x14ac:dyDescent="0.35">
      <c r="N707">
        <v>706</v>
      </c>
      <c r="O707">
        <v>1628524.6549954563</v>
      </c>
    </row>
    <row r="708" spans="14:15" x14ac:dyDescent="0.35">
      <c r="N708">
        <v>707</v>
      </c>
      <c r="O708">
        <v>1517562.9319687742</v>
      </c>
    </row>
    <row r="709" spans="14:15" x14ac:dyDescent="0.35">
      <c r="N709">
        <v>708</v>
      </c>
      <c r="O709">
        <v>1598685.3852598334</v>
      </c>
    </row>
    <row r="710" spans="14:15" x14ac:dyDescent="0.35">
      <c r="N710">
        <v>709</v>
      </c>
      <c r="O710">
        <v>1646866.0190860566</v>
      </c>
    </row>
    <row r="711" spans="14:15" x14ac:dyDescent="0.35">
      <c r="N711">
        <v>710</v>
      </c>
      <c r="O711">
        <v>1526091.6854394181</v>
      </c>
    </row>
    <row r="712" spans="14:15" x14ac:dyDescent="0.35">
      <c r="N712">
        <v>711</v>
      </c>
      <c r="O712">
        <v>1560618.2494357263</v>
      </c>
    </row>
    <row r="713" spans="14:15" x14ac:dyDescent="0.35">
      <c r="N713">
        <v>712</v>
      </c>
      <c r="O713">
        <v>1573424.9611123491</v>
      </c>
    </row>
    <row r="714" spans="14:15" x14ac:dyDescent="0.35">
      <c r="N714">
        <v>713</v>
      </c>
      <c r="O714">
        <v>1551225.8141163541</v>
      </c>
    </row>
    <row r="715" spans="14:15" x14ac:dyDescent="0.35">
      <c r="N715">
        <v>714</v>
      </c>
      <c r="O715">
        <v>1538394.2860842424</v>
      </c>
    </row>
    <row r="716" spans="14:15" x14ac:dyDescent="0.35">
      <c r="N716">
        <v>715</v>
      </c>
      <c r="O716">
        <v>1557986.4135815119</v>
      </c>
    </row>
    <row r="717" spans="14:15" x14ac:dyDescent="0.35">
      <c r="N717">
        <v>716</v>
      </c>
      <c r="O717">
        <v>1585982.182326572</v>
      </c>
    </row>
    <row r="718" spans="14:15" x14ac:dyDescent="0.35">
      <c r="N718">
        <v>717</v>
      </c>
      <c r="O718">
        <v>1569581.6279770569</v>
      </c>
    </row>
    <row r="719" spans="14:15" x14ac:dyDescent="0.35">
      <c r="N719">
        <v>718</v>
      </c>
      <c r="O719">
        <v>1519773.1704947238</v>
      </c>
    </row>
    <row r="720" spans="14:15" x14ac:dyDescent="0.35">
      <c r="N720">
        <v>719</v>
      </c>
      <c r="O720">
        <v>1523209.2865519719</v>
      </c>
    </row>
    <row r="721" spans="14:15" x14ac:dyDescent="0.35">
      <c r="N721">
        <v>720</v>
      </c>
      <c r="O721">
        <v>1517453.2723159068</v>
      </c>
    </row>
    <row r="722" spans="14:15" x14ac:dyDescent="0.35">
      <c r="N722">
        <v>721</v>
      </c>
      <c r="O722">
        <v>1549149.3663144158</v>
      </c>
    </row>
    <row r="723" spans="14:15" x14ac:dyDescent="0.35">
      <c r="N723">
        <v>722</v>
      </c>
      <c r="O723">
        <v>1561464.8440216966</v>
      </c>
    </row>
    <row r="724" spans="14:15" x14ac:dyDescent="0.35">
      <c r="N724">
        <v>723</v>
      </c>
      <c r="O724">
        <v>1541267.1568527573</v>
      </c>
    </row>
    <row r="725" spans="14:15" x14ac:dyDescent="0.35">
      <c r="N725">
        <v>724</v>
      </c>
      <c r="O725">
        <v>1476384.8019697547</v>
      </c>
    </row>
    <row r="726" spans="14:15" x14ac:dyDescent="0.35">
      <c r="N726">
        <v>725</v>
      </c>
      <c r="O726">
        <v>1592007.5084785779</v>
      </c>
    </row>
    <row r="727" spans="14:15" x14ac:dyDescent="0.35">
      <c r="N727">
        <v>726</v>
      </c>
      <c r="O727">
        <v>1585097.1572938913</v>
      </c>
    </row>
    <row r="728" spans="14:15" x14ac:dyDescent="0.35">
      <c r="N728">
        <v>727</v>
      </c>
      <c r="O728">
        <v>1543864.8819366442</v>
      </c>
    </row>
    <row r="729" spans="14:15" x14ac:dyDescent="0.35">
      <c r="N729">
        <v>728</v>
      </c>
      <c r="O729">
        <v>1579483.3626032639</v>
      </c>
    </row>
    <row r="730" spans="14:15" x14ac:dyDescent="0.35">
      <c r="N730">
        <v>729</v>
      </c>
      <c r="O730">
        <v>1554479.2727107482</v>
      </c>
    </row>
    <row r="731" spans="14:15" x14ac:dyDescent="0.35">
      <c r="N731">
        <v>730</v>
      </c>
      <c r="O731">
        <v>1549080.9237854381</v>
      </c>
    </row>
    <row r="732" spans="14:15" x14ac:dyDescent="0.35">
      <c r="N732">
        <v>731</v>
      </c>
      <c r="O732">
        <v>1534918.3035724559</v>
      </c>
    </row>
    <row r="733" spans="14:15" x14ac:dyDescent="0.35">
      <c r="N733">
        <v>732</v>
      </c>
      <c r="O733">
        <v>1517161.1043860961</v>
      </c>
    </row>
    <row r="734" spans="14:15" x14ac:dyDescent="0.35">
      <c r="N734">
        <v>733</v>
      </c>
      <c r="O734">
        <v>1559451.8339388373</v>
      </c>
    </row>
    <row r="735" spans="14:15" x14ac:dyDescent="0.35">
      <c r="N735">
        <v>734</v>
      </c>
      <c r="O735">
        <v>1520394.6957699391</v>
      </c>
    </row>
    <row r="736" spans="14:15" x14ac:dyDescent="0.35">
      <c r="N736">
        <v>735</v>
      </c>
      <c r="O736">
        <v>1550572.2744528102</v>
      </c>
    </row>
    <row r="737" spans="14:15" x14ac:dyDescent="0.35">
      <c r="N737">
        <v>736</v>
      </c>
      <c r="O737">
        <v>1565717.7861484832</v>
      </c>
    </row>
    <row r="738" spans="14:15" x14ac:dyDescent="0.35">
      <c r="N738">
        <v>737</v>
      </c>
      <c r="O738">
        <v>1558203.272426225</v>
      </c>
    </row>
    <row r="739" spans="14:15" x14ac:dyDescent="0.35">
      <c r="N739">
        <v>738</v>
      </c>
      <c r="O739">
        <v>1491659.3713875317</v>
      </c>
    </row>
    <row r="740" spans="14:15" x14ac:dyDescent="0.35">
      <c r="N740">
        <v>739</v>
      </c>
      <c r="O740">
        <v>1594514.4474009995</v>
      </c>
    </row>
    <row r="741" spans="14:15" x14ac:dyDescent="0.35">
      <c r="N741">
        <v>740</v>
      </c>
      <c r="O741">
        <v>1588046.6293446352</v>
      </c>
    </row>
    <row r="742" spans="14:15" x14ac:dyDescent="0.35">
      <c r="N742">
        <v>741</v>
      </c>
      <c r="O742">
        <v>1576326.69338415</v>
      </c>
    </row>
    <row r="743" spans="14:15" x14ac:dyDescent="0.35">
      <c r="N743">
        <v>742</v>
      </c>
      <c r="O743">
        <v>1501796.7288014137</v>
      </c>
    </row>
    <row r="744" spans="14:15" x14ac:dyDescent="0.35">
      <c r="N744">
        <v>743</v>
      </c>
      <c r="O744">
        <v>1484657.6843955254</v>
      </c>
    </row>
    <row r="745" spans="14:15" x14ac:dyDescent="0.35">
      <c r="N745">
        <v>744</v>
      </c>
      <c r="O745">
        <v>1576090.9041695723</v>
      </c>
    </row>
    <row r="746" spans="14:15" x14ac:dyDescent="0.35">
      <c r="N746">
        <v>745</v>
      </c>
      <c r="O746">
        <v>1563283.6953245611</v>
      </c>
    </row>
    <row r="747" spans="14:15" x14ac:dyDescent="0.35">
      <c r="N747">
        <v>746</v>
      </c>
      <c r="O747">
        <v>1531967.1013967837</v>
      </c>
    </row>
    <row r="748" spans="14:15" x14ac:dyDescent="0.35">
      <c r="N748">
        <v>747</v>
      </c>
      <c r="O748">
        <v>1555370.9638067177</v>
      </c>
    </row>
    <row r="749" spans="14:15" x14ac:dyDescent="0.35">
      <c r="N749">
        <v>748</v>
      </c>
      <c r="O749">
        <v>1556683.6778530632</v>
      </c>
    </row>
    <row r="750" spans="14:15" x14ac:dyDescent="0.35">
      <c r="N750">
        <v>749</v>
      </c>
      <c r="O750">
        <v>1562217.643915863</v>
      </c>
    </row>
    <row r="751" spans="14:15" x14ac:dyDescent="0.35">
      <c r="N751">
        <v>750</v>
      </c>
      <c r="O751">
        <v>1553162.4115294928</v>
      </c>
    </row>
    <row r="752" spans="14:15" x14ac:dyDescent="0.35">
      <c r="N752">
        <v>751</v>
      </c>
      <c r="O752">
        <v>1590912.7055578544</v>
      </c>
    </row>
    <row r="753" spans="14:15" x14ac:dyDescent="0.35">
      <c r="N753">
        <v>752</v>
      </c>
      <c r="O753">
        <v>1571324.5192787319</v>
      </c>
    </row>
    <row r="754" spans="14:15" x14ac:dyDescent="0.35">
      <c r="N754">
        <v>753</v>
      </c>
      <c r="O754">
        <v>1502381.8049250888</v>
      </c>
    </row>
    <row r="755" spans="14:15" x14ac:dyDescent="0.35">
      <c r="N755">
        <v>754</v>
      </c>
      <c r="O755">
        <v>1565254.9910876139</v>
      </c>
    </row>
    <row r="756" spans="14:15" x14ac:dyDescent="0.35">
      <c r="N756">
        <v>755</v>
      </c>
      <c r="O756">
        <v>1566188.4323633497</v>
      </c>
    </row>
    <row r="757" spans="14:15" x14ac:dyDescent="0.35">
      <c r="N757">
        <v>756</v>
      </c>
      <c r="O757">
        <v>1569416.4244728263</v>
      </c>
    </row>
    <row r="758" spans="14:15" x14ac:dyDescent="0.35">
      <c r="N758">
        <v>757</v>
      </c>
      <c r="O758">
        <v>1575755.7275978059</v>
      </c>
    </row>
    <row r="759" spans="14:15" x14ac:dyDescent="0.35">
      <c r="N759">
        <v>758</v>
      </c>
      <c r="O759">
        <v>1492822.5423192307</v>
      </c>
    </row>
    <row r="760" spans="14:15" x14ac:dyDescent="0.35">
      <c r="N760">
        <v>759</v>
      </c>
      <c r="O760">
        <v>1579412.4207900339</v>
      </c>
    </row>
    <row r="761" spans="14:15" x14ac:dyDescent="0.35">
      <c r="N761">
        <v>760</v>
      </c>
      <c r="O761">
        <v>1536486.1651870459</v>
      </c>
    </row>
    <row r="762" spans="14:15" x14ac:dyDescent="0.35">
      <c r="N762">
        <v>761</v>
      </c>
      <c r="O762">
        <v>1530287.3711760845</v>
      </c>
    </row>
    <row r="763" spans="14:15" x14ac:dyDescent="0.35">
      <c r="N763">
        <v>762</v>
      </c>
      <c r="O763">
        <v>1612016.9921649273</v>
      </c>
    </row>
    <row r="764" spans="14:15" x14ac:dyDescent="0.35">
      <c r="N764">
        <v>763</v>
      </c>
      <c r="O764">
        <v>1489265.7463143719</v>
      </c>
    </row>
    <row r="765" spans="14:15" x14ac:dyDescent="0.35">
      <c r="N765">
        <v>764</v>
      </c>
      <c r="O765">
        <v>1508094.9077235637</v>
      </c>
    </row>
    <row r="766" spans="14:15" x14ac:dyDescent="0.35">
      <c r="N766">
        <v>765</v>
      </c>
      <c r="O766">
        <v>1513193.5535181046</v>
      </c>
    </row>
    <row r="767" spans="14:15" x14ac:dyDescent="0.35">
      <c r="N767">
        <v>766</v>
      </c>
      <c r="O767">
        <v>1569424.7427800475</v>
      </c>
    </row>
    <row r="768" spans="14:15" x14ac:dyDescent="0.35">
      <c r="N768">
        <v>767</v>
      </c>
      <c r="O768">
        <v>1572247.7342345943</v>
      </c>
    </row>
    <row r="769" spans="14:15" x14ac:dyDescent="0.35">
      <c r="N769">
        <v>768</v>
      </c>
      <c r="O769">
        <v>1574036.5383006572</v>
      </c>
    </row>
    <row r="770" spans="14:15" x14ac:dyDescent="0.35">
      <c r="N770">
        <v>769</v>
      </c>
      <c r="O770">
        <v>1531344.3179815824</v>
      </c>
    </row>
    <row r="771" spans="14:15" x14ac:dyDescent="0.35">
      <c r="N771">
        <v>770</v>
      </c>
      <c r="O771">
        <v>1526540.3927097113</v>
      </c>
    </row>
    <row r="772" spans="14:15" x14ac:dyDescent="0.35">
      <c r="N772">
        <v>771</v>
      </c>
      <c r="O772">
        <v>1545986.4285201007</v>
      </c>
    </row>
    <row r="773" spans="14:15" x14ac:dyDescent="0.35">
      <c r="N773">
        <v>772</v>
      </c>
      <c r="O773">
        <v>1466996.733166487</v>
      </c>
    </row>
    <row r="774" spans="14:15" x14ac:dyDescent="0.35">
      <c r="N774">
        <v>773</v>
      </c>
      <c r="O774">
        <v>1578953.7967864268</v>
      </c>
    </row>
    <row r="775" spans="14:15" x14ac:dyDescent="0.35">
      <c r="N775">
        <v>774</v>
      </c>
      <c r="O775">
        <v>1535962.2496771249</v>
      </c>
    </row>
    <row r="776" spans="14:15" x14ac:dyDescent="0.35">
      <c r="N776">
        <v>775</v>
      </c>
      <c r="O776">
        <v>1501157.1026269419</v>
      </c>
    </row>
    <row r="777" spans="14:15" x14ac:dyDescent="0.35">
      <c r="N777">
        <v>776</v>
      </c>
      <c r="O777">
        <v>1554264.1790156553</v>
      </c>
    </row>
    <row r="778" spans="14:15" x14ac:dyDescent="0.35">
      <c r="N778">
        <v>777</v>
      </c>
      <c r="O778">
        <v>1479210.0221731574</v>
      </c>
    </row>
    <row r="779" spans="14:15" x14ac:dyDescent="0.35">
      <c r="N779">
        <v>778</v>
      </c>
      <c r="O779">
        <v>1516923.5248616731</v>
      </c>
    </row>
    <row r="780" spans="14:15" x14ac:dyDescent="0.35">
      <c r="N780">
        <v>779</v>
      </c>
      <c r="O780">
        <v>1556409.8941473912</v>
      </c>
    </row>
    <row r="781" spans="14:15" x14ac:dyDescent="0.35">
      <c r="N781">
        <v>780</v>
      </c>
      <c r="O781">
        <v>1584053.7938448032</v>
      </c>
    </row>
    <row r="782" spans="14:15" x14ac:dyDescent="0.35">
      <c r="N782">
        <v>781</v>
      </c>
      <c r="O782">
        <v>1556546.3708044987</v>
      </c>
    </row>
    <row r="783" spans="14:15" x14ac:dyDescent="0.35">
      <c r="N783">
        <v>782</v>
      </c>
      <c r="O783">
        <v>1630731.5528357746</v>
      </c>
    </row>
    <row r="784" spans="14:15" x14ac:dyDescent="0.35">
      <c r="N784">
        <v>783</v>
      </c>
      <c r="O784">
        <v>1541629.2476190741</v>
      </c>
    </row>
    <row r="785" spans="14:15" x14ac:dyDescent="0.35">
      <c r="N785">
        <v>784</v>
      </c>
      <c r="O785">
        <v>1533835.1441725593</v>
      </c>
    </row>
    <row r="786" spans="14:15" x14ac:dyDescent="0.35">
      <c r="N786">
        <v>785</v>
      </c>
      <c r="O786">
        <v>1541893.2850549682</v>
      </c>
    </row>
    <row r="787" spans="14:15" x14ac:dyDescent="0.35">
      <c r="N787">
        <v>786</v>
      </c>
      <c r="O787">
        <v>1498803.1809416632</v>
      </c>
    </row>
    <row r="788" spans="14:15" x14ac:dyDescent="0.35">
      <c r="N788">
        <v>787</v>
      </c>
      <c r="O788">
        <v>1542215.8653514578</v>
      </c>
    </row>
    <row r="789" spans="14:15" x14ac:dyDescent="0.35">
      <c r="N789">
        <v>788</v>
      </c>
      <c r="O789">
        <v>1573699.9865964616</v>
      </c>
    </row>
    <row r="790" spans="14:15" x14ac:dyDescent="0.35">
      <c r="N790">
        <v>789</v>
      </c>
      <c r="O790">
        <v>1560160.6054136117</v>
      </c>
    </row>
    <row r="791" spans="14:15" x14ac:dyDescent="0.35">
      <c r="N791">
        <v>790</v>
      </c>
      <c r="O791">
        <v>1590407.1171135714</v>
      </c>
    </row>
    <row r="792" spans="14:15" x14ac:dyDescent="0.35">
      <c r="N792">
        <v>791</v>
      </c>
      <c r="O792">
        <v>1592639.3064467004</v>
      </c>
    </row>
    <row r="793" spans="14:15" x14ac:dyDescent="0.35">
      <c r="N793">
        <v>792</v>
      </c>
      <c r="O793">
        <v>1522918.6625857605</v>
      </c>
    </row>
    <row r="794" spans="14:15" x14ac:dyDescent="0.35">
      <c r="N794">
        <v>793</v>
      </c>
      <c r="O794">
        <v>1574249.9899640754</v>
      </c>
    </row>
    <row r="795" spans="14:15" x14ac:dyDescent="0.35">
      <c r="N795">
        <v>794</v>
      </c>
      <c r="O795">
        <v>1505937.1299934923</v>
      </c>
    </row>
    <row r="796" spans="14:15" x14ac:dyDescent="0.35">
      <c r="N796">
        <v>795</v>
      </c>
      <c r="O796">
        <v>1476009.3174037915</v>
      </c>
    </row>
    <row r="797" spans="14:15" x14ac:dyDescent="0.35">
      <c r="N797">
        <v>796</v>
      </c>
      <c r="O797">
        <v>1506595.0892613912</v>
      </c>
    </row>
    <row r="798" spans="14:15" x14ac:dyDescent="0.35">
      <c r="N798">
        <v>797</v>
      </c>
      <c r="O798">
        <v>1488425.3758284913</v>
      </c>
    </row>
    <row r="799" spans="14:15" x14ac:dyDescent="0.35">
      <c r="N799">
        <v>798</v>
      </c>
      <c r="O799">
        <v>1544889.4296992011</v>
      </c>
    </row>
    <row r="800" spans="14:15" x14ac:dyDescent="0.35">
      <c r="N800">
        <v>799</v>
      </c>
      <c r="O800">
        <v>1498706.8345789637</v>
      </c>
    </row>
    <row r="801" spans="14:15" x14ac:dyDescent="0.35">
      <c r="N801">
        <v>800</v>
      </c>
      <c r="O801">
        <v>1482247.5470926217</v>
      </c>
    </row>
    <row r="802" spans="14:15" x14ac:dyDescent="0.35">
      <c r="N802">
        <v>801</v>
      </c>
      <c r="O802">
        <v>1459150.3359303139</v>
      </c>
    </row>
    <row r="803" spans="14:15" x14ac:dyDescent="0.35">
      <c r="N803">
        <v>802</v>
      </c>
      <c r="O803">
        <v>1531864.0477684452</v>
      </c>
    </row>
    <row r="804" spans="14:15" x14ac:dyDescent="0.35">
      <c r="N804">
        <v>803</v>
      </c>
      <c r="O804">
        <v>1546330.0658146469</v>
      </c>
    </row>
    <row r="805" spans="14:15" x14ac:dyDescent="0.35">
      <c r="N805">
        <v>804</v>
      </c>
      <c r="O805">
        <v>1508502.7633815538</v>
      </c>
    </row>
    <row r="806" spans="14:15" x14ac:dyDescent="0.35">
      <c r="N806">
        <v>805</v>
      </c>
      <c r="O806">
        <v>1570834.5910897027</v>
      </c>
    </row>
    <row r="807" spans="14:15" x14ac:dyDescent="0.35">
      <c r="N807">
        <v>806</v>
      </c>
      <c r="O807">
        <v>1527737.7508144211</v>
      </c>
    </row>
    <row r="808" spans="14:15" x14ac:dyDescent="0.35">
      <c r="N808">
        <v>807</v>
      </c>
      <c r="O808">
        <v>1584892.8657156494</v>
      </c>
    </row>
    <row r="809" spans="14:15" x14ac:dyDescent="0.35">
      <c r="N809">
        <v>808</v>
      </c>
      <c r="O809">
        <v>1566480.7676892823</v>
      </c>
    </row>
    <row r="810" spans="14:15" x14ac:dyDescent="0.35">
      <c r="N810">
        <v>809</v>
      </c>
      <c r="O810">
        <v>1557454.9876788757</v>
      </c>
    </row>
    <row r="811" spans="14:15" x14ac:dyDescent="0.35">
      <c r="N811">
        <v>810</v>
      </c>
      <c r="O811">
        <v>1549083.0973023425</v>
      </c>
    </row>
    <row r="812" spans="14:15" x14ac:dyDescent="0.35">
      <c r="N812">
        <v>811</v>
      </c>
      <c r="O812">
        <v>1538916.7951062755</v>
      </c>
    </row>
    <row r="813" spans="14:15" x14ac:dyDescent="0.35">
      <c r="N813">
        <v>812</v>
      </c>
      <c r="O813">
        <v>1516100.7185352871</v>
      </c>
    </row>
    <row r="814" spans="14:15" x14ac:dyDescent="0.35">
      <c r="N814">
        <v>813</v>
      </c>
      <c r="O814">
        <v>1527939.5491254893</v>
      </c>
    </row>
    <row r="815" spans="14:15" x14ac:dyDescent="0.35">
      <c r="N815">
        <v>814</v>
      </c>
      <c r="O815">
        <v>1565624.1657344284</v>
      </c>
    </row>
    <row r="816" spans="14:15" x14ac:dyDescent="0.35">
      <c r="N816">
        <v>815</v>
      </c>
      <c r="O816">
        <v>1501137.0440270023</v>
      </c>
    </row>
    <row r="817" spans="14:15" x14ac:dyDescent="0.35">
      <c r="N817">
        <v>816</v>
      </c>
      <c r="O817">
        <v>1576308.5029055921</v>
      </c>
    </row>
    <row r="818" spans="14:15" x14ac:dyDescent="0.35">
      <c r="N818">
        <v>817</v>
      </c>
      <c r="O818">
        <v>1526718.4842603358</v>
      </c>
    </row>
    <row r="819" spans="14:15" x14ac:dyDescent="0.35">
      <c r="N819">
        <v>818</v>
      </c>
      <c r="O819">
        <v>1516917.613188575</v>
      </c>
    </row>
    <row r="820" spans="14:15" x14ac:dyDescent="0.35">
      <c r="N820">
        <v>819</v>
      </c>
      <c r="O820">
        <v>1585015.9639121513</v>
      </c>
    </row>
    <row r="821" spans="14:15" x14ac:dyDescent="0.35">
      <c r="N821">
        <v>820</v>
      </c>
      <c r="O821">
        <v>1536809.569516829</v>
      </c>
    </row>
    <row r="822" spans="14:15" x14ac:dyDescent="0.35">
      <c r="N822">
        <v>821</v>
      </c>
      <c r="O822">
        <v>1560746.548271907</v>
      </c>
    </row>
    <row r="823" spans="14:15" x14ac:dyDescent="0.35">
      <c r="N823">
        <v>822</v>
      </c>
      <c r="O823">
        <v>1571490.4510135495</v>
      </c>
    </row>
    <row r="824" spans="14:15" x14ac:dyDescent="0.35">
      <c r="N824">
        <v>823</v>
      </c>
      <c r="O824">
        <v>1479539.2749470503</v>
      </c>
    </row>
    <row r="825" spans="14:15" x14ac:dyDescent="0.35">
      <c r="N825">
        <v>824</v>
      </c>
      <c r="O825">
        <v>1548485.6091134991</v>
      </c>
    </row>
    <row r="826" spans="14:15" x14ac:dyDescent="0.35">
      <c r="N826">
        <v>825</v>
      </c>
      <c r="O826">
        <v>1607101.1955096058</v>
      </c>
    </row>
    <row r="827" spans="14:15" x14ac:dyDescent="0.35">
      <c r="N827">
        <v>826</v>
      </c>
      <c r="O827">
        <v>1525875.2445769371</v>
      </c>
    </row>
    <row r="828" spans="14:15" x14ac:dyDescent="0.35">
      <c r="N828">
        <v>827</v>
      </c>
      <c r="O828">
        <v>1577198.4566598963</v>
      </c>
    </row>
    <row r="829" spans="14:15" x14ac:dyDescent="0.35">
      <c r="N829">
        <v>828</v>
      </c>
      <c r="O829">
        <v>1538882.2640436636</v>
      </c>
    </row>
    <row r="830" spans="14:15" x14ac:dyDescent="0.35">
      <c r="N830">
        <v>829</v>
      </c>
      <c r="O830">
        <v>1508604.7918657069</v>
      </c>
    </row>
    <row r="831" spans="14:15" x14ac:dyDescent="0.35">
      <c r="N831">
        <v>830</v>
      </c>
      <c r="O831">
        <v>1516276.7157130719</v>
      </c>
    </row>
    <row r="832" spans="14:15" x14ac:dyDescent="0.35">
      <c r="N832">
        <v>831</v>
      </c>
      <c r="O832">
        <v>1531433.5497631803</v>
      </c>
    </row>
    <row r="833" spans="14:15" x14ac:dyDescent="0.35">
      <c r="N833">
        <v>832</v>
      </c>
      <c r="O833">
        <v>1540527.8620151379</v>
      </c>
    </row>
    <row r="834" spans="14:15" x14ac:dyDescent="0.35">
      <c r="N834">
        <v>833</v>
      </c>
      <c r="O834">
        <v>1514304.2934458843</v>
      </c>
    </row>
    <row r="835" spans="14:15" x14ac:dyDescent="0.35">
      <c r="N835">
        <v>834</v>
      </c>
      <c r="O835">
        <v>1559667.8858434698</v>
      </c>
    </row>
    <row r="836" spans="14:15" x14ac:dyDescent="0.35">
      <c r="N836">
        <v>835</v>
      </c>
      <c r="O836">
        <v>1595337.5533426455</v>
      </c>
    </row>
    <row r="837" spans="14:15" x14ac:dyDescent="0.35">
      <c r="N837">
        <v>836</v>
      </c>
      <c r="O837">
        <v>1567175.3200948483</v>
      </c>
    </row>
    <row r="838" spans="14:15" x14ac:dyDescent="0.35">
      <c r="N838">
        <v>837</v>
      </c>
      <c r="O838">
        <v>1626915.4627900901</v>
      </c>
    </row>
    <row r="839" spans="14:15" x14ac:dyDescent="0.35">
      <c r="N839">
        <v>838</v>
      </c>
      <c r="O839">
        <v>1594122.5234162766</v>
      </c>
    </row>
    <row r="840" spans="14:15" x14ac:dyDescent="0.35">
      <c r="N840">
        <v>839</v>
      </c>
      <c r="O840">
        <v>1562220.5774367161</v>
      </c>
    </row>
    <row r="841" spans="14:15" x14ac:dyDescent="0.35">
      <c r="N841">
        <v>840</v>
      </c>
      <c r="O841">
        <v>1589811.6523679991</v>
      </c>
    </row>
    <row r="842" spans="14:15" x14ac:dyDescent="0.35">
      <c r="N842">
        <v>841</v>
      </c>
      <c r="O842">
        <v>1533810.2103391204</v>
      </c>
    </row>
    <row r="843" spans="14:15" x14ac:dyDescent="0.35">
      <c r="N843">
        <v>842</v>
      </c>
      <c r="O843">
        <v>1485791.2564290836</v>
      </c>
    </row>
    <row r="844" spans="14:15" x14ac:dyDescent="0.35">
      <c r="N844">
        <v>843</v>
      </c>
      <c r="O844">
        <v>1457190.0681911702</v>
      </c>
    </row>
    <row r="845" spans="14:15" x14ac:dyDescent="0.35">
      <c r="N845">
        <v>844</v>
      </c>
      <c r="O845">
        <v>1553760.5076997674</v>
      </c>
    </row>
    <row r="846" spans="14:15" x14ac:dyDescent="0.35">
      <c r="N846">
        <v>845</v>
      </c>
      <c r="O846">
        <v>1536468.6926163139</v>
      </c>
    </row>
    <row r="847" spans="14:15" x14ac:dyDescent="0.35">
      <c r="N847">
        <v>846</v>
      </c>
      <c r="O847">
        <v>1487832.4479937842</v>
      </c>
    </row>
    <row r="848" spans="14:15" x14ac:dyDescent="0.35">
      <c r="N848">
        <v>847</v>
      </c>
      <c r="O848">
        <v>1537189.3956385029</v>
      </c>
    </row>
    <row r="849" spans="14:15" x14ac:dyDescent="0.35">
      <c r="N849">
        <v>848</v>
      </c>
      <c r="O849">
        <v>1550308.8701363821</v>
      </c>
    </row>
    <row r="850" spans="14:15" x14ac:dyDescent="0.35">
      <c r="N850">
        <v>849</v>
      </c>
      <c r="O850">
        <v>1459443.9119625476</v>
      </c>
    </row>
    <row r="851" spans="14:15" x14ac:dyDescent="0.35">
      <c r="N851">
        <v>850</v>
      </c>
      <c r="O851">
        <v>1546272.8723272528</v>
      </c>
    </row>
    <row r="852" spans="14:15" x14ac:dyDescent="0.35">
      <c r="N852">
        <v>851</v>
      </c>
      <c r="O852">
        <v>1533324.3544769348</v>
      </c>
    </row>
    <row r="853" spans="14:15" x14ac:dyDescent="0.35">
      <c r="N853">
        <v>852</v>
      </c>
      <c r="O853">
        <v>1556215.1387450716</v>
      </c>
    </row>
    <row r="854" spans="14:15" x14ac:dyDescent="0.35">
      <c r="N854">
        <v>853</v>
      </c>
      <c r="O854">
        <v>1531355.7378116031</v>
      </c>
    </row>
    <row r="855" spans="14:15" x14ac:dyDescent="0.35">
      <c r="N855">
        <v>854</v>
      </c>
      <c r="O855">
        <v>1533869.1541595478</v>
      </c>
    </row>
    <row r="856" spans="14:15" x14ac:dyDescent="0.35">
      <c r="N856">
        <v>855</v>
      </c>
      <c r="O856">
        <v>1505323.7967233656</v>
      </c>
    </row>
    <row r="857" spans="14:15" x14ac:dyDescent="0.35">
      <c r="N857">
        <v>856</v>
      </c>
      <c r="O857">
        <v>1536566.2221427427</v>
      </c>
    </row>
    <row r="858" spans="14:15" x14ac:dyDescent="0.35">
      <c r="N858">
        <v>857</v>
      </c>
      <c r="O858">
        <v>1531044.6193703937</v>
      </c>
    </row>
    <row r="859" spans="14:15" x14ac:dyDescent="0.35">
      <c r="N859">
        <v>858</v>
      </c>
      <c r="O859">
        <v>1515575.5731751868</v>
      </c>
    </row>
    <row r="860" spans="14:15" x14ac:dyDescent="0.35">
      <c r="N860">
        <v>859</v>
      </c>
      <c r="O860">
        <v>1532866.6811275755</v>
      </c>
    </row>
    <row r="861" spans="14:15" x14ac:dyDescent="0.35">
      <c r="N861">
        <v>860</v>
      </c>
      <c r="O861">
        <v>1580017.5191745963</v>
      </c>
    </row>
    <row r="862" spans="14:15" x14ac:dyDescent="0.35">
      <c r="N862">
        <v>861</v>
      </c>
      <c r="O862">
        <v>1477848.0128308637</v>
      </c>
    </row>
    <row r="863" spans="14:15" x14ac:dyDescent="0.35">
      <c r="N863">
        <v>862</v>
      </c>
      <c r="O863">
        <v>1538893.4867662063</v>
      </c>
    </row>
    <row r="864" spans="14:15" x14ac:dyDescent="0.35">
      <c r="N864">
        <v>863</v>
      </c>
      <c r="O864">
        <v>1550690.3655836917</v>
      </c>
    </row>
    <row r="865" spans="14:15" x14ac:dyDescent="0.35">
      <c r="N865">
        <v>864</v>
      </c>
      <c r="O865">
        <v>1543823.9515070056</v>
      </c>
    </row>
    <row r="866" spans="14:15" x14ac:dyDescent="0.35">
      <c r="N866">
        <v>865</v>
      </c>
      <c r="O866">
        <v>1461286.0630767769</v>
      </c>
    </row>
    <row r="867" spans="14:15" x14ac:dyDescent="0.35">
      <c r="N867">
        <v>866</v>
      </c>
      <c r="O867">
        <v>1525513.3692435764</v>
      </c>
    </row>
    <row r="868" spans="14:15" x14ac:dyDescent="0.35">
      <c r="N868">
        <v>867</v>
      </c>
      <c r="O868">
        <v>1578155.2651595885</v>
      </c>
    </row>
    <row r="869" spans="14:15" x14ac:dyDescent="0.35">
      <c r="N869">
        <v>868</v>
      </c>
      <c r="O869">
        <v>1570188.260433634</v>
      </c>
    </row>
    <row r="870" spans="14:15" x14ac:dyDescent="0.35">
      <c r="N870">
        <v>869</v>
      </c>
      <c r="O870">
        <v>1546398.6585301552</v>
      </c>
    </row>
    <row r="871" spans="14:15" x14ac:dyDescent="0.35">
      <c r="N871">
        <v>870</v>
      </c>
      <c r="O871">
        <v>1548778.9030286884</v>
      </c>
    </row>
    <row r="872" spans="14:15" x14ac:dyDescent="0.35">
      <c r="N872">
        <v>871</v>
      </c>
      <c r="O872">
        <v>1591325.8827739086</v>
      </c>
    </row>
    <row r="873" spans="14:15" x14ac:dyDescent="0.35">
      <c r="N873">
        <v>872</v>
      </c>
      <c r="O873">
        <v>1518225.9110517642</v>
      </c>
    </row>
    <row r="874" spans="14:15" x14ac:dyDescent="0.35">
      <c r="N874">
        <v>873</v>
      </c>
      <c r="O874">
        <v>1589005.5717683639</v>
      </c>
    </row>
    <row r="875" spans="14:15" x14ac:dyDescent="0.35">
      <c r="N875">
        <v>874</v>
      </c>
      <c r="O875">
        <v>1509406.7930218806</v>
      </c>
    </row>
    <row r="876" spans="14:15" x14ac:dyDescent="0.35">
      <c r="N876">
        <v>875</v>
      </c>
      <c r="O876">
        <v>1572062.1370140363</v>
      </c>
    </row>
    <row r="877" spans="14:15" x14ac:dyDescent="0.35">
      <c r="N877">
        <v>876</v>
      </c>
      <c r="O877">
        <v>1535052.8440187301</v>
      </c>
    </row>
    <row r="878" spans="14:15" x14ac:dyDescent="0.35">
      <c r="N878">
        <v>877</v>
      </c>
      <c r="O878">
        <v>1550922.0485574184</v>
      </c>
    </row>
    <row r="879" spans="14:15" x14ac:dyDescent="0.35">
      <c r="N879">
        <v>878</v>
      </c>
      <c r="O879">
        <v>1545848.5183813623</v>
      </c>
    </row>
    <row r="880" spans="14:15" x14ac:dyDescent="0.35">
      <c r="N880">
        <v>879</v>
      </c>
      <c r="O880">
        <v>1542171.321576372</v>
      </c>
    </row>
    <row r="881" spans="14:15" x14ac:dyDescent="0.35">
      <c r="N881">
        <v>880</v>
      </c>
      <c r="O881">
        <v>1569498.3545757793</v>
      </c>
    </row>
    <row r="882" spans="14:15" x14ac:dyDescent="0.35">
      <c r="N882">
        <v>881</v>
      </c>
      <c r="O882">
        <v>1533860.5541059321</v>
      </c>
    </row>
    <row r="883" spans="14:15" x14ac:dyDescent="0.35">
      <c r="N883">
        <v>882</v>
      </c>
      <c r="O883">
        <v>1570296.4363740836</v>
      </c>
    </row>
    <row r="884" spans="14:15" x14ac:dyDescent="0.35">
      <c r="N884">
        <v>883</v>
      </c>
      <c r="O884">
        <v>1514417.0163387756</v>
      </c>
    </row>
    <row r="885" spans="14:15" x14ac:dyDescent="0.35">
      <c r="N885">
        <v>884</v>
      </c>
      <c r="O885">
        <v>1524912.8546477307</v>
      </c>
    </row>
    <row r="886" spans="14:15" x14ac:dyDescent="0.35">
      <c r="N886">
        <v>885</v>
      </c>
      <c r="O886">
        <v>1530664.6910597533</v>
      </c>
    </row>
    <row r="887" spans="14:15" x14ac:dyDescent="0.35">
      <c r="N887">
        <v>886</v>
      </c>
      <c r="O887">
        <v>1570483.3480635018</v>
      </c>
    </row>
    <row r="888" spans="14:15" x14ac:dyDescent="0.35">
      <c r="N888">
        <v>887</v>
      </c>
      <c r="O888">
        <v>1546798.1857228701</v>
      </c>
    </row>
    <row r="889" spans="14:15" x14ac:dyDescent="0.35">
      <c r="N889">
        <v>888</v>
      </c>
      <c r="O889">
        <v>1432228.8654452283</v>
      </c>
    </row>
    <row r="890" spans="14:15" x14ac:dyDescent="0.35">
      <c r="N890">
        <v>889</v>
      </c>
      <c r="O890">
        <v>1536188.6623779524</v>
      </c>
    </row>
    <row r="891" spans="14:15" x14ac:dyDescent="0.35">
      <c r="N891">
        <v>890</v>
      </c>
      <c r="O891">
        <v>1574013.3479393078</v>
      </c>
    </row>
    <row r="892" spans="14:15" x14ac:dyDescent="0.35">
      <c r="N892">
        <v>891</v>
      </c>
      <c r="O892">
        <v>1533566.206297966</v>
      </c>
    </row>
    <row r="893" spans="14:15" x14ac:dyDescent="0.35">
      <c r="N893">
        <v>892</v>
      </c>
      <c r="O893">
        <v>1570264.1643810419</v>
      </c>
    </row>
    <row r="894" spans="14:15" x14ac:dyDescent="0.35">
      <c r="N894">
        <v>893</v>
      </c>
      <c r="O894">
        <v>1507981.0233992003</v>
      </c>
    </row>
    <row r="895" spans="14:15" x14ac:dyDescent="0.35">
      <c r="N895">
        <v>894</v>
      </c>
      <c r="O895">
        <v>1521777.975703781</v>
      </c>
    </row>
    <row r="896" spans="14:15" x14ac:dyDescent="0.35">
      <c r="N896">
        <v>895</v>
      </c>
      <c r="O896">
        <v>1536939.5335916872</v>
      </c>
    </row>
    <row r="897" spans="14:15" x14ac:dyDescent="0.35">
      <c r="N897">
        <v>896</v>
      </c>
      <c r="O897">
        <v>1521937.9278258563</v>
      </c>
    </row>
    <row r="898" spans="14:15" x14ac:dyDescent="0.35">
      <c r="N898">
        <v>897</v>
      </c>
      <c r="O898">
        <v>1621082.6598792016</v>
      </c>
    </row>
    <row r="899" spans="14:15" x14ac:dyDescent="0.35">
      <c r="N899">
        <v>898</v>
      </c>
      <c r="O899">
        <v>1529689.5380785039</v>
      </c>
    </row>
    <row r="900" spans="14:15" x14ac:dyDescent="0.35">
      <c r="N900">
        <v>899</v>
      </c>
      <c r="O900">
        <v>1601332.6757531005</v>
      </c>
    </row>
    <row r="901" spans="14:15" x14ac:dyDescent="0.35">
      <c r="N901">
        <v>900</v>
      </c>
      <c r="O901">
        <v>1500224.8556868853</v>
      </c>
    </row>
    <row r="902" spans="14:15" x14ac:dyDescent="0.35">
      <c r="N902">
        <v>901</v>
      </c>
      <c r="O902">
        <v>1548727.1353956179</v>
      </c>
    </row>
    <row r="903" spans="14:15" x14ac:dyDescent="0.35">
      <c r="N903">
        <v>902</v>
      </c>
      <c r="O903">
        <v>1521036.9871350643</v>
      </c>
    </row>
    <row r="904" spans="14:15" x14ac:dyDescent="0.35">
      <c r="N904">
        <v>903</v>
      </c>
      <c r="O904">
        <v>1562119.6751776161</v>
      </c>
    </row>
    <row r="905" spans="14:15" x14ac:dyDescent="0.35">
      <c r="N905">
        <v>904</v>
      </c>
      <c r="O905">
        <v>1484824.0605449716</v>
      </c>
    </row>
    <row r="906" spans="14:15" x14ac:dyDescent="0.35">
      <c r="N906">
        <v>905</v>
      </c>
      <c r="O906">
        <v>1632898.4191050942</v>
      </c>
    </row>
    <row r="907" spans="14:15" x14ac:dyDescent="0.35">
      <c r="N907">
        <v>906</v>
      </c>
      <c r="O907">
        <v>1587272.1103822701</v>
      </c>
    </row>
    <row r="908" spans="14:15" x14ac:dyDescent="0.35">
      <c r="N908">
        <v>907</v>
      </c>
      <c r="O908">
        <v>1537967.6838229287</v>
      </c>
    </row>
    <row r="909" spans="14:15" x14ac:dyDescent="0.35">
      <c r="N909">
        <v>908</v>
      </c>
      <c r="O909">
        <v>1545021.8603605549</v>
      </c>
    </row>
    <row r="910" spans="14:15" x14ac:dyDescent="0.35">
      <c r="N910">
        <v>909</v>
      </c>
      <c r="O910">
        <v>1548527.983802679</v>
      </c>
    </row>
    <row r="911" spans="14:15" x14ac:dyDescent="0.35">
      <c r="N911">
        <v>910</v>
      </c>
      <c r="O911">
        <v>1513764.8062055409</v>
      </c>
    </row>
    <row r="912" spans="14:15" x14ac:dyDescent="0.35">
      <c r="N912">
        <v>911</v>
      </c>
      <c r="O912">
        <v>1531973.2272960022</v>
      </c>
    </row>
    <row r="913" spans="14:15" x14ac:dyDescent="0.35">
      <c r="N913">
        <v>912</v>
      </c>
      <c r="O913">
        <v>1518019.4820431611</v>
      </c>
    </row>
    <row r="914" spans="14:15" x14ac:dyDescent="0.35">
      <c r="N914">
        <v>913</v>
      </c>
      <c r="O914">
        <v>1535866.9480059808</v>
      </c>
    </row>
    <row r="915" spans="14:15" x14ac:dyDescent="0.35">
      <c r="N915">
        <v>914</v>
      </c>
      <c r="O915">
        <v>1585618.3664635955</v>
      </c>
    </row>
    <row r="916" spans="14:15" x14ac:dyDescent="0.35">
      <c r="N916">
        <v>915</v>
      </c>
      <c r="O916">
        <v>1513178.6035218497</v>
      </c>
    </row>
    <row r="917" spans="14:15" x14ac:dyDescent="0.35">
      <c r="N917">
        <v>916</v>
      </c>
      <c r="O917">
        <v>1623686.9489798343</v>
      </c>
    </row>
    <row r="918" spans="14:15" x14ac:dyDescent="0.35">
      <c r="N918">
        <v>917</v>
      </c>
      <c r="O918">
        <v>1566692.6538318309</v>
      </c>
    </row>
    <row r="919" spans="14:15" x14ac:dyDescent="0.35">
      <c r="N919">
        <v>918</v>
      </c>
      <c r="O919">
        <v>1567085.9537069157</v>
      </c>
    </row>
    <row r="920" spans="14:15" x14ac:dyDescent="0.35">
      <c r="N920">
        <v>919</v>
      </c>
      <c r="O920">
        <v>1513071.7560127105</v>
      </c>
    </row>
    <row r="921" spans="14:15" x14ac:dyDescent="0.35">
      <c r="N921">
        <v>920</v>
      </c>
      <c r="O921">
        <v>1535072.8840766652</v>
      </c>
    </row>
    <row r="922" spans="14:15" x14ac:dyDescent="0.35">
      <c r="N922">
        <v>921</v>
      </c>
      <c r="O922">
        <v>1565233.8474500307</v>
      </c>
    </row>
    <row r="923" spans="14:15" x14ac:dyDescent="0.35">
      <c r="N923">
        <v>922</v>
      </c>
      <c r="O923">
        <v>1544937.4206736072</v>
      </c>
    </row>
    <row r="924" spans="14:15" x14ac:dyDescent="0.35">
      <c r="N924">
        <v>923</v>
      </c>
      <c r="O924">
        <v>1536344.8340177117</v>
      </c>
    </row>
    <row r="925" spans="14:15" x14ac:dyDescent="0.35">
      <c r="N925">
        <v>924</v>
      </c>
      <c r="O925">
        <v>1554855.7309322653</v>
      </c>
    </row>
    <row r="926" spans="14:15" x14ac:dyDescent="0.35">
      <c r="N926">
        <v>925</v>
      </c>
      <c r="O926">
        <v>1545759.3638991769</v>
      </c>
    </row>
    <row r="927" spans="14:15" x14ac:dyDescent="0.35">
      <c r="N927">
        <v>926</v>
      </c>
      <c r="O927">
        <v>1532473.0826899575</v>
      </c>
    </row>
    <row r="928" spans="14:15" x14ac:dyDescent="0.35">
      <c r="N928">
        <v>927</v>
      </c>
      <c r="O928">
        <v>1583096.5086840126</v>
      </c>
    </row>
    <row r="929" spans="14:15" x14ac:dyDescent="0.35">
      <c r="N929">
        <v>928</v>
      </c>
      <c r="O929">
        <v>1529916.0037405798</v>
      </c>
    </row>
    <row r="930" spans="14:15" x14ac:dyDescent="0.35">
      <c r="N930">
        <v>929</v>
      </c>
      <c r="O930">
        <v>1548376.4135528181</v>
      </c>
    </row>
    <row r="931" spans="14:15" x14ac:dyDescent="0.35">
      <c r="N931">
        <v>930</v>
      </c>
      <c r="O931">
        <v>1534279.8732506076</v>
      </c>
    </row>
    <row r="932" spans="14:15" x14ac:dyDescent="0.35">
      <c r="N932">
        <v>931</v>
      </c>
      <c r="O932">
        <v>1549834.1462865989</v>
      </c>
    </row>
    <row r="933" spans="14:15" x14ac:dyDescent="0.35">
      <c r="N933">
        <v>932</v>
      </c>
      <c r="O933">
        <v>1527805.482526416</v>
      </c>
    </row>
    <row r="934" spans="14:15" x14ac:dyDescent="0.35">
      <c r="N934">
        <v>933</v>
      </c>
      <c r="O934">
        <v>1529933.5471174882</v>
      </c>
    </row>
    <row r="935" spans="14:15" x14ac:dyDescent="0.35">
      <c r="N935">
        <v>934</v>
      </c>
      <c r="O935">
        <v>1574459.1426802145</v>
      </c>
    </row>
    <row r="936" spans="14:15" x14ac:dyDescent="0.35">
      <c r="N936">
        <v>935</v>
      </c>
      <c r="O936">
        <v>1526979.3608712805</v>
      </c>
    </row>
    <row r="937" spans="14:15" x14ac:dyDescent="0.35">
      <c r="N937">
        <v>936</v>
      </c>
      <c r="O937">
        <v>1529193.9771904938</v>
      </c>
    </row>
    <row r="938" spans="14:15" x14ac:dyDescent="0.35">
      <c r="N938">
        <v>937</v>
      </c>
      <c r="O938">
        <v>1509130.7581705924</v>
      </c>
    </row>
    <row r="939" spans="14:15" x14ac:dyDescent="0.35">
      <c r="N939">
        <v>938</v>
      </c>
      <c r="O939">
        <v>1510866.3895652182</v>
      </c>
    </row>
    <row r="940" spans="14:15" x14ac:dyDescent="0.35">
      <c r="N940">
        <v>939</v>
      </c>
      <c r="O940">
        <v>1533997.3459667112</v>
      </c>
    </row>
    <row r="941" spans="14:15" x14ac:dyDescent="0.35">
      <c r="N941">
        <v>940</v>
      </c>
      <c r="O941">
        <v>1484170.2728518865</v>
      </c>
    </row>
    <row r="942" spans="14:15" x14ac:dyDescent="0.35">
      <c r="N942">
        <v>941</v>
      </c>
      <c r="O942">
        <v>1556450.2751137353</v>
      </c>
    </row>
    <row r="943" spans="14:15" x14ac:dyDescent="0.35">
      <c r="N943">
        <v>942</v>
      </c>
      <c r="O943">
        <v>1502182.1378318814</v>
      </c>
    </row>
    <row r="944" spans="14:15" x14ac:dyDescent="0.35">
      <c r="N944">
        <v>943</v>
      </c>
      <c r="O944">
        <v>1525279.3267715645</v>
      </c>
    </row>
    <row r="945" spans="14:15" x14ac:dyDescent="0.35">
      <c r="N945">
        <v>944</v>
      </c>
      <c r="O945">
        <v>1608486.3999405832</v>
      </c>
    </row>
    <row r="946" spans="14:15" x14ac:dyDescent="0.35">
      <c r="N946">
        <v>945</v>
      </c>
      <c r="O946">
        <v>1528088.1728102041</v>
      </c>
    </row>
    <row r="947" spans="14:15" x14ac:dyDescent="0.35">
      <c r="N947">
        <v>946</v>
      </c>
      <c r="O947">
        <v>1593964.6858145008</v>
      </c>
    </row>
    <row r="948" spans="14:15" x14ac:dyDescent="0.35">
      <c r="N948">
        <v>947</v>
      </c>
      <c r="O948">
        <v>1551518.3299084343</v>
      </c>
    </row>
    <row r="949" spans="14:15" x14ac:dyDescent="0.35">
      <c r="N949">
        <v>948</v>
      </c>
      <c r="O949">
        <v>1622731.6664403332</v>
      </c>
    </row>
    <row r="950" spans="14:15" x14ac:dyDescent="0.35">
      <c r="N950">
        <v>949</v>
      </c>
      <c r="O950">
        <v>1555241.7861090959</v>
      </c>
    </row>
    <row r="951" spans="14:15" x14ac:dyDescent="0.35">
      <c r="N951">
        <v>950</v>
      </c>
      <c r="O951">
        <v>1551023.2570425281</v>
      </c>
    </row>
    <row r="952" spans="14:15" x14ac:dyDescent="0.35">
      <c r="N952">
        <v>951</v>
      </c>
      <c r="O952">
        <v>1505395.9743193847</v>
      </c>
    </row>
    <row r="953" spans="14:15" x14ac:dyDescent="0.35">
      <c r="N953">
        <v>952</v>
      </c>
      <c r="O953">
        <v>1553718.2191294916</v>
      </c>
    </row>
    <row r="954" spans="14:15" x14ac:dyDescent="0.35">
      <c r="N954">
        <v>953</v>
      </c>
      <c r="O954">
        <v>1562608.8362542584</v>
      </c>
    </row>
    <row r="955" spans="14:15" x14ac:dyDescent="0.35">
      <c r="N955">
        <v>954</v>
      </c>
      <c r="O955">
        <v>1508087.4676580832</v>
      </c>
    </row>
    <row r="956" spans="14:15" x14ac:dyDescent="0.35">
      <c r="N956">
        <v>955</v>
      </c>
      <c r="O956">
        <v>1534549.2859896445</v>
      </c>
    </row>
    <row r="957" spans="14:15" x14ac:dyDescent="0.35">
      <c r="N957">
        <v>956</v>
      </c>
      <c r="O957">
        <v>1528887.6965321747</v>
      </c>
    </row>
    <row r="958" spans="14:15" x14ac:dyDescent="0.35">
      <c r="N958">
        <v>957</v>
      </c>
      <c r="O958">
        <v>1593512.6000062882</v>
      </c>
    </row>
    <row r="959" spans="14:15" x14ac:dyDescent="0.35">
      <c r="N959">
        <v>958</v>
      </c>
      <c r="O959">
        <v>1550741.0712062991</v>
      </c>
    </row>
    <row r="960" spans="14:15" x14ac:dyDescent="0.35">
      <c r="N960">
        <v>959</v>
      </c>
      <c r="O960">
        <v>1573686.8429338934</v>
      </c>
    </row>
    <row r="961" spans="14:15" x14ac:dyDescent="0.35">
      <c r="N961">
        <v>960</v>
      </c>
      <c r="O961">
        <v>1508444.8532246733</v>
      </c>
    </row>
    <row r="962" spans="14:15" x14ac:dyDescent="0.35">
      <c r="N962">
        <v>961</v>
      </c>
      <c r="O962">
        <v>1531543.8231800739</v>
      </c>
    </row>
    <row r="963" spans="14:15" x14ac:dyDescent="0.35">
      <c r="N963">
        <v>962</v>
      </c>
      <c r="O963">
        <v>1498120.2281756301</v>
      </c>
    </row>
    <row r="964" spans="14:15" x14ac:dyDescent="0.35">
      <c r="N964">
        <v>963</v>
      </c>
      <c r="O964">
        <v>1525140.189772343</v>
      </c>
    </row>
    <row r="965" spans="14:15" x14ac:dyDescent="0.35">
      <c r="N965">
        <v>964</v>
      </c>
      <c r="O965">
        <v>1578243.4773380437</v>
      </c>
    </row>
    <row r="966" spans="14:15" x14ac:dyDescent="0.35">
      <c r="N966">
        <v>965</v>
      </c>
      <c r="O966">
        <v>1534802.6059273726</v>
      </c>
    </row>
    <row r="967" spans="14:15" x14ac:dyDescent="0.35">
      <c r="N967">
        <v>966</v>
      </c>
      <c r="O967">
        <v>1535602.46269322</v>
      </c>
    </row>
    <row r="968" spans="14:15" x14ac:dyDescent="0.35">
      <c r="N968">
        <v>967</v>
      </c>
      <c r="O968">
        <v>1515585.4398318259</v>
      </c>
    </row>
    <row r="969" spans="14:15" x14ac:dyDescent="0.35">
      <c r="N969">
        <v>968</v>
      </c>
      <c r="O969">
        <v>1568890.7166372819</v>
      </c>
    </row>
    <row r="970" spans="14:15" x14ac:dyDescent="0.35">
      <c r="N970">
        <v>969</v>
      </c>
      <c r="O970">
        <v>1492729.5471994905</v>
      </c>
    </row>
    <row r="971" spans="14:15" x14ac:dyDescent="0.35">
      <c r="N971">
        <v>970</v>
      </c>
      <c r="O971">
        <v>1504237.5114578756</v>
      </c>
    </row>
    <row r="972" spans="14:15" x14ac:dyDescent="0.35">
      <c r="N972">
        <v>971</v>
      </c>
      <c r="O972">
        <v>1490561.7581803259</v>
      </c>
    </row>
    <row r="973" spans="14:15" x14ac:dyDescent="0.35">
      <c r="N973">
        <v>972</v>
      </c>
      <c r="O973">
        <v>1523309.7863590745</v>
      </c>
    </row>
    <row r="974" spans="14:15" x14ac:dyDescent="0.35">
      <c r="N974">
        <v>973</v>
      </c>
      <c r="O974">
        <v>1542174.2863357817</v>
      </c>
    </row>
    <row r="975" spans="14:15" x14ac:dyDescent="0.35">
      <c r="N975">
        <v>974</v>
      </c>
      <c r="O975">
        <v>1537698.2094985242</v>
      </c>
    </row>
    <row r="976" spans="14:15" x14ac:dyDescent="0.35">
      <c r="N976">
        <v>975</v>
      </c>
      <c r="O976">
        <v>1560059.9471251515</v>
      </c>
    </row>
    <row r="977" spans="14:15" x14ac:dyDescent="0.35">
      <c r="N977">
        <v>976</v>
      </c>
      <c r="O977">
        <v>1496319.8999592285</v>
      </c>
    </row>
    <row r="978" spans="14:15" x14ac:dyDescent="0.35">
      <c r="N978">
        <v>977</v>
      </c>
      <c r="O978">
        <v>1484767.3975942268</v>
      </c>
    </row>
    <row r="979" spans="14:15" x14ac:dyDescent="0.35">
      <c r="N979">
        <v>978</v>
      </c>
      <c r="O979">
        <v>1528488.2395512366</v>
      </c>
    </row>
    <row r="980" spans="14:15" x14ac:dyDescent="0.35">
      <c r="N980">
        <v>979</v>
      </c>
      <c r="O980">
        <v>1544988.6219167488</v>
      </c>
    </row>
    <row r="981" spans="14:15" x14ac:dyDescent="0.35">
      <c r="N981">
        <v>980</v>
      </c>
      <c r="O981">
        <v>1603185.4877023711</v>
      </c>
    </row>
    <row r="982" spans="14:15" x14ac:dyDescent="0.35">
      <c r="N982">
        <v>981</v>
      </c>
      <c r="O982">
        <v>1492873.201040545</v>
      </c>
    </row>
    <row r="983" spans="14:15" x14ac:dyDescent="0.35">
      <c r="N983">
        <v>982</v>
      </c>
      <c r="O983">
        <v>1528703.1250776262</v>
      </c>
    </row>
    <row r="984" spans="14:15" x14ac:dyDescent="0.35">
      <c r="N984">
        <v>983</v>
      </c>
      <c r="O984">
        <v>1545736.3141890308</v>
      </c>
    </row>
    <row r="985" spans="14:15" x14ac:dyDescent="0.35">
      <c r="N985">
        <v>984</v>
      </c>
      <c r="O985">
        <v>1529202.4533122391</v>
      </c>
    </row>
    <row r="986" spans="14:15" x14ac:dyDescent="0.35">
      <c r="N986">
        <v>985</v>
      </c>
      <c r="O986">
        <v>1525331.7578410879</v>
      </c>
    </row>
    <row r="987" spans="14:15" x14ac:dyDescent="0.35">
      <c r="N987">
        <v>986</v>
      </c>
      <c r="O987">
        <v>1543390.3477341416</v>
      </c>
    </row>
    <row r="988" spans="14:15" x14ac:dyDescent="0.35">
      <c r="N988">
        <v>987</v>
      </c>
      <c r="O988">
        <v>1687261.8187420478</v>
      </c>
    </row>
    <row r="989" spans="14:15" x14ac:dyDescent="0.35">
      <c r="N989">
        <v>988</v>
      </c>
      <c r="O989">
        <v>1538017.6513357793</v>
      </c>
    </row>
    <row r="990" spans="14:15" x14ac:dyDescent="0.35">
      <c r="N990">
        <v>989</v>
      </c>
      <c r="O990">
        <v>1566463.3711982488</v>
      </c>
    </row>
    <row r="991" spans="14:15" x14ac:dyDescent="0.35">
      <c r="N991">
        <v>990</v>
      </c>
      <c r="O991">
        <v>1530931.3322607656</v>
      </c>
    </row>
    <row r="992" spans="14:15" x14ac:dyDescent="0.35">
      <c r="N992">
        <v>991</v>
      </c>
      <c r="O992">
        <v>1600350.4906466496</v>
      </c>
    </row>
    <row r="993" spans="14:15" x14ac:dyDescent="0.35">
      <c r="N993">
        <v>992</v>
      </c>
      <c r="O993">
        <v>1608683.1462742684</v>
      </c>
    </row>
    <row r="994" spans="14:15" x14ac:dyDescent="0.35">
      <c r="N994">
        <v>993</v>
      </c>
      <c r="O994">
        <v>1559537.3038586115</v>
      </c>
    </row>
    <row r="995" spans="14:15" x14ac:dyDescent="0.35">
      <c r="N995">
        <v>994</v>
      </c>
      <c r="O995">
        <v>1561423.834315866</v>
      </c>
    </row>
    <row r="996" spans="14:15" x14ac:dyDescent="0.35">
      <c r="N996">
        <v>995</v>
      </c>
      <c r="O996">
        <v>1527318.0330246026</v>
      </c>
    </row>
    <row r="997" spans="14:15" x14ac:dyDescent="0.35">
      <c r="N997">
        <v>996</v>
      </c>
      <c r="O997">
        <v>1494568.9442088727</v>
      </c>
    </row>
    <row r="998" spans="14:15" x14ac:dyDescent="0.35">
      <c r="N998">
        <v>997</v>
      </c>
      <c r="O998">
        <v>1553258.5406280535</v>
      </c>
    </row>
    <row r="999" spans="14:15" x14ac:dyDescent="0.35">
      <c r="N999">
        <v>998</v>
      </c>
      <c r="O999">
        <v>1486490.3883731586</v>
      </c>
    </row>
    <row r="1000" spans="14:15" x14ac:dyDescent="0.35">
      <c r="N1000">
        <v>999</v>
      </c>
      <c r="O1000">
        <v>1524869.4467621441</v>
      </c>
    </row>
    <row r="1001" spans="14:15" x14ac:dyDescent="0.35">
      <c r="N1001">
        <v>1000</v>
      </c>
      <c r="O1001">
        <v>1558926.0804895936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3170-103C-4A12-B3B3-74B8CD674FBF}">
  <dimension ref="A1:E17"/>
  <sheetViews>
    <sheetView showGridLines="0" workbookViewId="0">
      <selection activeCell="F10" sqref="F10"/>
    </sheetView>
  </sheetViews>
  <sheetFormatPr defaultRowHeight="14.5" x14ac:dyDescent="0.35"/>
  <cols>
    <col min="1" max="1" width="2.36328125" customWidth="1"/>
    <col min="2" max="2" width="6.08984375" bestFit="1" customWidth="1"/>
    <col min="3" max="3" width="30" bestFit="1" customWidth="1"/>
    <col min="4" max="4" width="11" bestFit="1" customWidth="1"/>
    <col min="5" max="5" width="12" bestFit="1" customWidth="1"/>
  </cols>
  <sheetData>
    <row r="1" spans="1:5" x14ac:dyDescent="0.35">
      <c r="A1" s="24" t="s">
        <v>71</v>
      </c>
    </row>
    <row r="2" spans="1:5" x14ac:dyDescent="0.35">
      <c r="A2" s="24" t="s">
        <v>93</v>
      </c>
    </row>
    <row r="3" spans="1:5" x14ac:dyDescent="0.35">
      <c r="A3" s="24" t="s">
        <v>95</v>
      </c>
    </row>
    <row r="6" spans="1:5" ht="15" thickBot="1" x14ac:dyDescent="0.4">
      <c r="A6" t="s">
        <v>73</v>
      </c>
    </row>
    <row r="7" spans="1:5" x14ac:dyDescent="0.35">
      <c r="B7" s="45"/>
      <c r="C7" s="45"/>
      <c r="D7" s="45" t="s">
        <v>76</v>
      </c>
      <c r="E7" s="45" t="s">
        <v>78</v>
      </c>
    </row>
    <row r="8" spans="1:5" ht="15" thickBot="1" x14ac:dyDescent="0.4">
      <c r="B8" s="46" t="s">
        <v>74</v>
      </c>
      <c r="C8" s="46" t="s">
        <v>75</v>
      </c>
      <c r="D8" s="46" t="s">
        <v>77</v>
      </c>
      <c r="E8" s="46" t="s">
        <v>79</v>
      </c>
    </row>
    <row r="9" spans="1:5" x14ac:dyDescent="0.35">
      <c r="B9" s="43" t="s">
        <v>83</v>
      </c>
      <c r="C9" s="43" t="s">
        <v>84</v>
      </c>
      <c r="D9" s="43">
        <v>0.80000099999999996</v>
      </c>
      <c r="E9" s="43">
        <v>0</v>
      </c>
    </row>
    <row r="10" spans="1:5" x14ac:dyDescent="0.35">
      <c r="B10" s="43" t="s">
        <v>85</v>
      </c>
      <c r="C10" s="43" t="s">
        <v>86</v>
      </c>
      <c r="D10" s="43">
        <v>0.1</v>
      </c>
      <c r="E10" s="43">
        <v>2.749999612569809E-2</v>
      </c>
    </row>
    <row r="11" spans="1:5" ht="15" thickBot="1" x14ac:dyDescent="0.4">
      <c r="B11" s="44" t="s">
        <v>87</v>
      </c>
      <c r="C11" s="44" t="s">
        <v>88</v>
      </c>
      <c r="D11" s="44">
        <v>9.9999999999999978E-2</v>
      </c>
      <c r="E11" s="44">
        <v>6.4999997615814209E-2</v>
      </c>
    </row>
    <row r="13" spans="1:5" ht="15" thickBot="1" x14ac:dyDescent="0.4">
      <c r="A13" t="s">
        <v>80</v>
      </c>
    </row>
    <row r="14" spans="1:5" x14ac:dyDescent="0.35">
      <c r="B14" s="45"/>
      <c r="C14" s="45"/>
      <c r="D14" s="45" t="s">
        <v>76</v>
      </c>
      <c r="E14" s="45" t="s">
        <v>81</v>
      </c>
    </row>
    <row r="15" spans="1:5" ht="15" thickBot="1" x14ac:dyDescent="0.4">
      <c r="B15" s="46" t="s">
        <v>74</v>
      </c>
      <c r="C15" s="46" t="s">
        <v>75</v>
      </c>
      <c r="D15" s="46" t="s">
        <v>77</v>
      </c>
      <c r="E15" s="46" t="s">
        <v>82</v>
      </c>
    </row>
    <row r="16" spans="1:5" x14ac:dyDescent="0.35">
      <c r="B16" s="43" t="s">
        <v>89</v>
      </c>
      <c r="C16" s="43" t="s">
        <v>90</v>
      </c>
      <c r="D16" s="43">
        <v>7.1250049999999995E-2</v>
      </c>
      <c r="E16" s="43">
        <v>0</v>
      </c>
    </row>
    <row r="17" spans="2:5" ht="15" thickBot="1" x14ac:dyDescent="0.4">
      <c r="B17" s="44" t="s">
        <v>91</v>
      </c>
      <c r="C17" s="44" t="s">
        <v>92</v>
      </c>
      <c r="D17" s="44">
        <v>1.0000009999999999</v>
      </c>
      <c r="E17" s="44">
        <v>3.7500001490116119E-2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71CE-3335-4FA6-969E-34CCE9E22E26}">
  <dimension ref="B1:W1001"/>
  <sheetViews>
    <sheetView tabSelected="1" workbookViewId="0">
      <selection activeCell="A13" sqref="A13"/>
    </sheetView>
  </sheetViews>
  <sheetFormatPr defaultRowHeight="14.5" x14ac:dyDescent="0.35"/>
  <cols>
    <col min="3" max="3" width="20.81640625" bestFit="1" customWidth="1"/>
    <col min="6" max="6" width="13.6328125" customWidth="1"/>
    <col min="7" max="7" width="9.54296875" bestFit="1" customWidth="1"/>
    <col min="9" max="9" width="21.453125" bestFit="1" customWidth="1"/>
    <col min="11" max="11" width="20.6328125" customWidth="1"/>
    <col min="12" max="12" width="14.08984375" bestFit="1" customWidth="1"/>
    <col min="15" max="15" width="9.54296875" bestFit="1" customWidth="1"/>
    <col min="17" max="17" width="22" customWidth="1"/>
    <col min="18" max="18" width="18.36328125" customWidth="1"/>
    <col min="19" max="19" width="16.1796875" customWidth="1"/>
    <col min="21" max="21" width="11.6328125" customWidth="1"/>
    <col min="22" max="22" width="12.08984375" bestFit="1" customWidth="1"/>
    <col min="23" max="23" width="9.54296875" bestFit="1" customWidth="1"/>
  </cols>
  <sheetData>
    <row r="1" spans="2:23" x14ac:dyDescent="0.35">
      <c r="B1" t="s">
        <v>61</v>
      </c>
      <c r="C1" s="2" t="s">
        <v>0</v>
      </c>
      <c r="D1" s="2">
        <v>30</v>
      </c>
      <c r="E1" s="2"/>
      <c r="F1" s="2"/>
      <c r="G1" s="2"/>
      <c r="H1" s="2"/>
      <c r="I1" s="2"/>
      <c r="J1" s="2"/>
      <c r="K1" s="2"/>
      <c r="L1" s="2"/>
      <c r="N1" t="s">
        <v>27</v>
      </c>
      <c r="O1" t="s">
        <v>30</v>
      </c>
    </row>
    <row r="2" spans="2:23" x14ac:dyDescent="0.35">
      <c r="B2" t="s">
        <v>62</v>
      </c>
      <c r="C2" s="2" t="s">
        <v>1</v>
      </c>
      <c r="D2" s="2">
        <v>60</v>
      </c>
      <c r="E2" s="2"/>
      <c r="F2" s="2"/>
      <c r="G2" s="2"/>
      <c r="H2" s="2"/>
      <c r="I2" s="2"/>
      <c r="J2" s="2"/>
      <c r="K2" s="23" t="s">
        <v>29</v>
      </c>
      <c r="L2" s="39">
        <f ca="1">L47</f>
        <v>359081.30483837338</v>
      </c>
      <c r="N2">
        <v>1</v>
      </c>
      <c r="O2" s="10">
        <f ca="1">L2</f>
        <v>359081.30483837338</v>
      </c>
    </row>
    <row r="3" spans="2:23" x14ac:dyDescent="0.35">
      <c r="B3" t="s">
        <v>63</v>
      </c>
      <c r="C3" s="2" t="s">
        <v>2</v>
      </c>
      <c r="D3" s="2">
        <v>70000</v>
      </c>
      <c r="E3" s="2"/>
      <c r="F3" s="2"/>
      <c r="G3" s="2"/>
      <c r="H3" s="2"/>
      <c r="I3" s="2"/>
      <c r="J3" s="2"/>
      <c r="K3" s="37" t="s">
        <v>45</v>
      </c>
      <c r="L3" s="38">
        <f>'Retirement Capital'!E27</f>
        <v>1454757</v>
      </c>
      <c r="N3">
        <v>2</v>
      </c>
      <c r="O3">
        <f t="dataTable" ref="O3:O1001" dt2D="0" dtr="0" r1="K5" ca="1"/>
        <v>365607.4614292059</v>
      </c>
    </row>
    <row r="4" spans="2:23" x14ac:dyDescent="0.35">
      <c r="B4" t="s">
        <v>64</v>
      </c>
      <c r="C4" s="2" t="s">
        <v>3</v>
      </c>
      <c r="D4" s="3">
        <v>3.5000000000000003E-2</v>
      </c>
      <c r="E4" s="2"/>
      <c r="F4" s="2"/>
      <c r="G4" s="2" t="s">
        <v>25</v>
      </c>
      <c r="H4" s="2">
        <v>0.7</v>
      </c>
      <c r="I4" s="2"/>
      <c r="J4" s="2"/>
      <c r="K4" s="2" t="s">
        <v>60</v>
      </c>
      <c r="L4" s="40">
        <f ca="1">L2-L3</f>
        <v>-1095675.6951616267</v>
      </c>
      <c r="N4">
        <v>3</v>
      </c>
      <c r="O4">
        <v>359008.97737106885</v>
      </c>
      <c r="S4" s="18" t="s">
        <v>69</v>
      </c>
      <c r="T4" s="18" t="s">
        <v>9</v>
      </c>
      <c r="U4" s="18" t="s">
        <v>10</v>
      </c>
      <c r="V4" s="18" t="s">
        <v>8</v>
      </c>
    </row>
    <row r="5" spans="2:23" x14ac:dyDescent="0.35">
      <c r="B5" t="s">
        <v>65</v>
      </c>
      <c r="C5" s="2" t="s">
        <v>4</v>
      </c>
      <c r="D5" s="4">
        <v>0.03</v>
      </c>
      <c r="E5" s="2"/>
      <c r="F5" s="2"/>
      <c r="G5" s="2"/>
      <c r="H5" s="2"/>
      <c r="I5" s="2"/>
      <c r="J5" s="2"/>
      <c r="K5" s="24" t="s">
        <v>47</v>
      </c>
      <c r="L5" s="42">
        <f ca="1">AVERAGE(O2:O1001)</f>
        <v>361000.64169053489</v>
      </c>
      <c r="N5">
        <v>4</v>
      </c>
      <c r="O5">
        <v>351435.25884930661</v>
      </c>
      <c r="S5" s="19" t="s">
        <v>11</v>
      </c>
      <c r="T5" s="21">
        <v>3.7499999999999999E-2</v>
      </c>
      <c r="U5" s="21">
        <v>0.05</v>
      </c>
      <c r="V5" s="8">
        <v>0.80000099999999996</v>
      </c>
    </row>
    <row r="6" spans="2:23" x14ac:dyDescent="0.35">
      <c r="B6" t="s">
        <v>66</v>
      </c>
      <c r="C6" s="2" t="s">
        <v>5</v>
      </c>
      <c r="D6" s="4">
        <v>0.03</v>
      </c>
      <c r="E6" s="2"/>
      <c r="F6" s="2"/>
      <c r="G6" s="2"/>
      <c r="H6" s="2"/>
      <c r="I6" s="2"/>
      <c r="J6" s="2"/>
      <c r="K6" s="2"/>
      <c r="L6" s="2"/>
      <c r="N6">
        <v>5</v>
      </c>
      <c r="O6">
        <v>346875.39257557894</v>
      </c>
      <c r="S6" s="19" t="s">
        <v>13</v>
      </c>
      <c r="T6" s="21">
        <v>6.5000000000000002E-2</v>
      </c>
      <c r="U6" s="21">
        <v>0.105</v>
      </c>
      <c r="V6" s="8">
        <v>0.1</v>
      </c>
    </row>
    <row r="7" spans="2:23" x14ac:dyDescent="0.35">
      <c r="B7" t="s">
        <v>67</v>
      </c>
      <c r="C7" s="2" t="s">
        <v>6</v>
      </c>
      <c r="D7" s="4">
        <v>0.02</v>
      </c>
      <c r="E7" s="2"/>
      <c r="F7" s="2"/>
      <c r="G7" s="2"/>
      <c r="H7" s="2"/>
      <c r="I7" s="2"/>
      <c r="J7" s="2"/>
      <c r="K7" s="2"/>
      <c r="L7" s="2"/>
      <c r="N7">
        <v>6</v>
      </c>
      <c r="O7">
        <v>367861.8957892757</v>
      </c>
      <c r="S7" s="19" t="s">
        <v>15</v>
      </c>
      <c r="T7" s="21">
        <v>0.10249999999999999</v>
      </c>
      <c r="U7" s="21">
        <v>0.20749999999999999</v>
      </c>
      <c r="V7" s="8">
        <v>9.9999999999999978E-2</v>
      </c>
    </row>
    <row r="8" spans="2:23" x14ac:dyDescent="0.35">
      <c r="B8" t="s">
        <v>68</v>
      </c>
      <c r="C8" s="2" t="s">
        <v>7</v>
      </c>
      <c r="D8" s="2">
        <v>30</v>
      </c>
      <c r="E8" s="2"/>
      <c r="F8" s="2"/>
      <c r="G8" s="2"/>
      <c r="H8" s="2"/>
      <c r="I8" s="2"/>
      <c r="J8" s="2"/>
      <c r="K8" s="2"/>
      <c r="L8" s="2"/>
      <c r="N8">
        <v>7</v>
      </c>
      <c r="O8">
        <v>360443.8034540948</v>
      </c>
      <c r="V8" s="8">
        <f>SUM(V5:V7)</f>
        <v>1.0000009999999999</v>
      </c>
    </row>
    <row r="9" spans="2:23" x14ac:dyDescent="0.35">
      <c r="C9" s="2"/>
      <c r="D9" s="2"/>
      <c r="E9" s="2"/>
      <c r="F9" s="2"/>
      <c r="G9" s="2"/>
      <c r="H9" s="2"/>
      <c r="I9" s="2"/>
      <c r="J9" s="2"/>
      <c r="K9" s="2"/>
      <c r="L9" s="2"/>
      <c r="N9">
        <v>8</v>
      </c>
      <c r="O9">
        <v>360730.09102486545</v>
      </c>
      <c r="V9" s="9">
        <f>(V5*T5)+(V6*T6)+(V7*T7)</f>
        <v>4.6750037499999994E-2</v>
      </c>
      <c r="W9" t="s">
        <v>70</v>
      </c>
    </row>
    <row r="10" spans="2:23" x14ac:dyDescent="0.35">
      <c r="C10" s="17"/>
      <c r="D10" s="18" t="s">
        <v>8</v>
      </c>
      <c r="E10" s="18" t="s">
        <v>9</v>
      </c>
      <c r="F10" s="18"/>
      <c r="G10" s="18" t="s">
        <v>10</v>
      </c>
      <c r="H10" s="2"/>
      <c r="I10" s="2"/>
      <c r="J10" s="2"/>
      <c r="K10" s="2"/>
      <c r="L10" s="2"/>
      <c r="N10">
        <v>9</v>
      </c>
      <c r="O10">
        <v>365042.81908926088</v>
      </c>
    </row>
    <row r="11" spans="2:23" x14ac:dyDescent="0.35">
      <c r="C11" s="19" t="s">
        <v>11</v>
      </c>
      <c r="D11" s="20">
        <v>0.8</v>
      </c>
      <c r="E11" s="21">
        <v>3.7499999999999999E-2</v>
      </c>
      <c r="F11" s="21"/>
      <c r="G11" s="21">
        <v>0.05</v>
      </c>
      <c r="H11" s="2"/>
      <c r="I11" s="2" t="s">
        <v>12</v>
      </c>
      <c r="J11" s="3">
        <v>4.7E-2</v>
      </c>
      <c r="K11" s="2"/>
      <c r="L11" s="2"/>
      <c r="N11">
        <v>10</v>
      </c>
      <c r="O11">
        <v>369119.82038491667</v>
      </c>
      <c r="V11" s="15">
        <f>(V5*5%)+(V6*10.5%)+(V7*20.75%)</f>
        <v>7.1250049999999995E-2</v>
      </c>
      <c r="W11" t="s">
        <v>10</v>
      </c>
    </row>
    <row r="12" spans="2:23" x14ac:dyDescent="0.35">
      <c r="C12" s="19" t="s">
        <v>13</v>
      </c>
      <c r="D12" s="20">
        <v>0.1</v>
      </c>
      <c r="E12" s="21">
        <v>6.5000000000000002E-2</v>
      </c>
      <c r="F12" s="21"/>
      <c r="G12" s="21">
        <v>0.105</v>
      </c>
      <c r="H12" s="2"/>
      <c r="I12" s="2" t="s">
        <v>14</v>
      </c>
      <c r="J12" s="22">
        <f>(D11*G11)+(D12*G12)+(D13*G13)</f>
        <v>7.1250000000000008E-2</v>
      </c>
      <c r="K12" s="2"/>
      <c r="L12" s="2"/>
      <c r="N12">
        <v>11</v>
      </c>
      <c r="O12">
        <v>370764.65564580058</v>
      </c>
    </row>
    <row r="13" spans="2:23" x14ac:dyDescent="0.35">
      <c r="C13" s="19" t="s">
        <v>15</v>
      </c>
      <c r="D13" s="20">
        <v>0.1</v>
      </c>
      <c r="E13" s="21">
        <v>0.10249999999999999</v>
      </c>
      <c r="F13" s="21"/>
      <c r="G13" s="21">
        <v>0.20749999999999999</v>
      </c>
      <c r="H13" s="2"/>
      <c r="I13" s="2"/>
      <c r="J13" s="2"/>
      <c r="K13" s="2"/>
      <c r="L13" s="2"/>
      <c r="N13">
        <v>12</v>
      </c>
      <c r="O13">
        <v>359215.30090525083</v>
      </c>
    </row>
    <row r="14" spans="2:23" x14ac:dyDescent="0.35">
      <c r="C14" s="2"/>
      <c r="D14" s="2"/>
      <c r="E14" s="2"/>
      <c r="F14" s="2"/>
      <c r="G14" s="2"/>
      <c r="H14" s="2"/>
      <c r="I14" s="2"/>
      <c r="J14" s="2"/>
      <c r="K14" s="2"/>
      <c r="L14" s="2"/>
      <c r="N14">
        <v>13</v>
      </c>
      <c r="O14">
        <v>358303.86398540979</v>
      </c>
    </row>
    <row r="15" spans="2:23" x14ac:dyDescent="0.35">
      <c r="C15" s="2"/>
      <c r="D15" s="2"/>
      <c r="E15" s="2"/>
      <c r="F15" s="2"/>
      <c r="G15" s="2"/>
      <c r="H15" s="2"/>
      <c r="I15" s="2"/>
      <c r="J15" s="2"/>
      <c r="K15" s="2"/>
      <c r="L15" s="2"/>
      <c r="N15">
        <v>14</v>
      </c>
      <c r="O15">
        <v>368497.14309843513</v>
      </c>
    </row>
    <row r="16" spans="2:23" x14ac:dyDescent="0.35">
      <c r="C16" s="2"/>
      <c r="D16" s="6" t="s">
        <v>16</v>
      </c>
      <c r="E16" s="5" t="s">
        <v>17</v>
      </c>
      <c r="F16" s="5" t="s">
        <v>26</v>
      </c>
      <c r="G16" s="5" t="s">
        <v>18</v>
      </c>
      <c r="H16" s="5" t="s">
        <v>19</v>
      </c>
      <c r="I16" s="5" t="s">
        <v>20</v>
      </c>
      <c r="J16" s="5" t="s">
        <v>21</v>
      </c>
      <c r="K16" s="5" t="s">
        <v>23</v>
      </c>
      <c r="L16" s="5" t="s">
        <v>24</v>
      </c>
      <c r="N16">
        <v>15</v>
      </c>
      <c r="O16">
        <v>358140.47696758038</v>
      </c>
    </row>
    <row r="17" spans="3:15" x14ac:dyDescent="0.35">
      <c r="C17" s="2"/>
      <c r="D17" s="2">
        <v>1</v>
      </c>
      <c r="E17" s="2">
        <v>30</v>
      </c>
      <c r="F17" s="11">
        <f ca="1">_xlfn.NORM.INV(RAND(),0.035,0.007)</f>
        <v>2.9938049680094829E-2</v>
      </c>
      <c r="G17" s="12">
        <v>70000</v>
      </c>
      <c r="H17" s="12">
        <f>G17*$D$5</f>
        <v>2100</v>
      </c>
      <c r="I17" s="12">
        <f>G17*$D$6</f>
        <v>2100</v>
      </c>
      <c r="J17" s="12">
        <f>H17+I17</f>
        <v>4200</v>
      </c>
      <c r="K17" s="2">
        <v>0</v>
      </c>
      <c r="L17" s="12">
        <f>J17+K17</f>
        <v>4200</v>
      </c>
      <c r="N17">
        <v>16</v>
      </c>
      <c r="O17">
        <v>350657.13691554125</v>
      </c>
    </row>
    <row r="18" spans="3:15" x14ac:dyDescent="0.35">
      <c r="C18" s="2"/>
      <c r="D18" s="2">
        <v>2</v>
      </c>
      <c r="E18" s="2">
        <f>E17+1</f>
        <v>31</v>
      </c>
      <c r="F18" s="11">
        <f t="shared" ref="F18:F47" ca="1" si="0">_xlfn.NORM.INV(RAND(),0.035,0.007)</f>
        <v>3.9047491666656726E-2</v>
      </c>
      <c r="G18" s="12">
        <f ca="1">G17*(1+F18)</f>
        <v>72733.324416665972</v>
      </c>
      <c r="H18" s="12">
        <f t="shared" ref="H18:H47" ca="1" si="1">G18*$D$5</f>
        <v>2181.999732499979</v>
      </c>
      <c r="I18" s="12">
        <f t="shared" ref="I18:I47" ca="1" si="2">G18*$D$6</f>
        <v>2181.999732499979</v>
      </c>
      <c r="J18" s="12">
        <f t="shared" ref="J18:J47" ca="1" si="3">H18+I18</f>
        <v>4363.999464999958</v>
      </c>
      <c r="K18" s="12">
        <f t="shared" ref="K18:K47" si="4">(J17*$J$11)+K17</f>
        <v>197.4</v>
      </c>
      <c r="L18" s="12">
        <f t="shared" ref="L18:L47" ca="1" si="5">J18+K18+L17</f>
        <v>8761.3994649999586</v>
      </c>
      <c r="N18">
        <v>17</v>
      </c>
      <c r="O18">
        <v>354090.12535336404</v>
      </c>
    </row>
    <row r="19" spans="3:15" x14ac:dyDescent="0.35">
      <c r="C19" s="2"/>
      <c r="D19" s="2">
        <v>3</v>
      </c>
      <c r="E19" s="2">
        <f t="shared" ref="E19:E47" si="6">E18+1</f>
        <v>32</v>
      </c>
      <c r="F19" s="11">
        <f t="shared" ca="1" si="0"/>
        <v>3.1572559821386285E-2</v>
      </c>
      <c r="G19" s="12">
        <f t="shared" ref="G19:G46" ca="1" si="7">G18*(1+F19)</f>
        <v>75029.701652819451</v>
      </c>
      <c r="H19" s="12">
        <f t="shared" ca="1" si="1"/>
        <v>2250.8910495845835</v>
      </c>
      <c r="I19" s="12">
        <f t="shared" ca="1" si="2"/>
        <v>2250.8910495845835</v>
      </c>
      <c r="J19" s="12">
        <f t="shared" ca="1" si="3"/>
        <v>4501.7820991691669</v>
      </c>
      <c r="K19" s="12">
        <f t="shared" ca="1" si="4"/>
        <v>402.507974854998</v>
      </c>
      <c r="L19" s="12">
        <f t="shared" ca="1" si="5"/>
        <v>13665.689539024122</v>
      </c>
      <c r="N19">
        <v>18</v>
      </c>
      <c r="O19">
        <v>344365.20402609982</v>
      </c>
    </row>
    <row r="20" spans="3:15" x14ac:dyDescent="0.35">
      <c r="C20" s="2"/>
      <c r="D20" s="2">
        <v>4</v>
      </c>
      <c r="E20" s="2">
        <f t="shared" si="6"/>
        <v>33</v>
      </c>
      <c r="F20" s="11">
        <f t="shared" ca="1" si="0"/>
        <v>3.7255680629705516E-2</v>
      </c>
      <c r="G20" s="12">
        <f t="shared" ca="1" si="7"/>
        <v>77824.984255338975</v>
      </c>
      <c r="H20" s="12">
        <f t="shared" ca="1" si="1"/>
        <v>2334.749527660169</v>
      </c>
      <c r="I20" s="12">
        <f t="shared" ca="1" si="2"/>
        <v>2334.749527660169</v>
      </c>
      <c r="J20" s="12">
        <f t="shared" ca="1" si="3"/>
        <v>4669.4990553203379</v>
      </c>
      <c r="K20" s="12">
        <f t="shared" ca="1" si="4"/>
        <v>614.09173351594882</v>
      </c>
      <c r="L20" s="12">
        <f t="shared" ca="1" si="5"/>
        <v>18949.280327860411</v>
      </c>
      <c r="N20">
        <v>19</v>
      </c>
      <c r="O20">
        <v>369112.33082364983</v>
      </c>
    </row>
    <row r="21" spans="3:15" x14ac:dyDescent="0.35">
      <c r="C21" s="2"/>
      <c r="D21" s="2">
        <v>5</v>
      </c>
      <c r="E21" s="2">
        <f t="shared" si="6"/>
        <v>34</v>
      </c>
      <c r="F21" s="11">
        <f t="shared" ca="1" si="0"/>
        <v>3.1152456395088512E-2</v>
      </c>
      <c r="G21" s="12">
        <f t="shared" ca="1" si="7"/>
        <v>80249.42368380187</v>
      </c>
      <c r="H21" s="12">
        <f t="shared" ca="1" si="1"/>
        <v>2407.4827105140562</v>
      </c>
      <c r="I21" s="12">
        <f t="shared" ca="1" si="2"/>
        <v>2407.4827105140562</v>
      </c>
      <c r="J21" s="12">
        <f t="shared" ca="1" si="3"/>
        <v>4814.9654210281124</v>
      </c>
      <c r="K21" s="12">
        <f t="shared" ca="1" si="4"/>
        <v>833.55818911600477</v>
      </c>
      <c r="L21" s="12">
        <f t="shared" ca="1" si="5"/>
        <v>24597.80393800453</v>
      </c>
      <c r="N21">
        <v>20</v>
      </c>
      <c r="O21">
        <v>363269.45479401591</v>
      </c>
    </row>
    <row r="22" spans="3:15" x14ac:dyDescent="0.35">
      <c r="C22" s="2"/>
      <c r="D22" s="2">
        <v>6</v>
      </c>
      <c r="E22" s="2">
        <f t="shared" si="6"/>
        <v>35</v>
      </c>
      <c r="F22" s="11">
        <f t="shared" ca="1" si="0"/>
        <v>3.7521174899473986E-2</v>
      </c>
      <c r="G22" s="12">
        <f t="shared" ca="1" si="7"/>
        <v>83260.476345423784</v>
      </c>
      <c r="H22" s="12">
        <f t="shared" ca="1" si="1"/>
        <v>2497.8142903627136</v>
      </c>
      <c r="I22" s="12">
        <f t="shared" ca="1" si="2"/>
        <v>2497.8142903627136</v>
      </c>
      <c r="J22" s="12">
        <f t="shared" ca="1" si="3"/>
        <v>4995.6285807254271</v>
      </c>
      <c r="K22" s="12">
        <f t="shared" ca="1" si="4"/>
        <v>1059.861563904326</v>
      </c>
      <c r="L22" s="12">
        <f t="shared" ca="1" si="5"/>
        <v>30653.294082634282</v>
      </c>
      <c r="N22">
        <v>21</v>
      </c>
      <c r="O22">
        <v>364210.83047948568</v>
      </c>
    </row>
    <row r="23" spans="3:15" x14ac:dyDescent="0.35">
      <c r="C23" s="2"/>
      <c r="D23" s="2">
        <v>7</v>
      </c>
      <c r="E23" s="2">
        <f t="shared" si="6"/>
        <v>36</v>
      </c>
      <c r="F23" s="11">
        <f t="shared" ca="1" si="0"/>
        <v>3.7701360107672686E-2</v>
      </c>
      <c r="G23" s="12">
        <f t="shared" ca="1" si="7"/>
        <v>86399.509546858972</v>
      </c>
      <c r="H23" s="12">
        <f t="shared" ca="1" si="1"/>
        <v>2591.9852864057689</v>
      </c>
      <c r="I23" s="12">
        <f t="shared" ca="1" si="2"/>
        <v>2591.9852864057689</v>
      </c>
      <c r="J23" s="12">
        <f t="shared" ca="1" si="3"/>
        <v>5183.9705728115377</v>
      </c>
      <c r="K23" s="12">
        <f t="shared" ca="1" si="4"/>
        <v>1294.6561071984211</v>
      </c>
      <c r="L23" s="12">
        <f t="shared" ca="1" si="5"/>
        <v>37131.920762644237</v>
      </c>
      <c r="N23">
        <v>22</v>
      </c>
      <c r="O23">
        <v>365219.67432091926</v>
      </c>
    </row>
    <row r="24" spans="3:15" x14ac:dyDescent="0.35">
      <c r="C24" s="2"/>
      <c r="D24" s="2">
        <v>8</v>
      </c>
      <c r="E24" s="2">
        <f t="shared" si="6"/>
        <v>37</v>
      </c>
      <c r="F24" s="11">
        <f t="shared" ca="1" si="0"/>
        <v>2.8150257722955964E-2</v>
      </c>
      <c r="G24" s="12">
        <f t="shared" ca="1" si="7"/>
        <v>88831.678007740047</v>
      </c>
      <c r="H24" s="12">
        <f t="shared" ca="1" si="1"/>
        <v>2664.9503402322011</v>
      </c>
      <c r="I24" s="12">
        <f t="shared" ca="1" si="2"/>
        <v>2664.9503402322011</v>
      </c>
      <c r="J24" s="12">
        <f t="shared" ca="1" si="3"/>
        <v>5329.9006804644023</v>
      </c>
      <c r="K24" s="12">
        <f t="shared" ca="1" si="4"/>
        <v>1538.3027241205634</v>
      </c>
      <c r="L24" s="12">
        <f t="shared" ca="1" si="5"/>
        <v>44000.124167229202</v>
      </c>
      <c r="N24">
        <v>23</v>
      </c>
      <c r="O24">
        <v>364685.85123068799</v>
      </c>
    </row>
    <row r="25" spans="3:15" x14ac:dyDescent="0.35">
      <c r="C25" s="2"/>
      <c r="D25" s="2">
        <v>9</v>
      </c>
      <c r="E25" s="2">
        <f t="shared" si="6"/>
        <v>38</v>
      </c>
      <c r="F25" s="11">
        <f t="shared" ca="1" si="0"/>
        <v>3.265011413063254E-2</v>
      </c>
      <c r="G25" s="12">
        <f t="shared" ca="1" si="7"/>
        <v>91732.042433108363</v>
      </c>
      <c r="H25" s="12">
        <f t="shared" ca="1" si="1"/>
        <v>2751.961272993251</v>
      </c>
      <c r="I25" s="12">
        <f t="shared" ca="1" si="2"/>
        <v>2751.961272993251</v>
      </c>
      <c r="J25" s="12">
        <f t="shared" ca="1" si="3"/>
        <v>5503.922545986502</v>
      </c>
      <c r="K25" s="12">
        <f t="shared" ca="1" si="4"/>
        <v>1788.8080561023903</v>
      </c>
      <c r="L25" s="12">
        <f t="shared" ca="1" si="5"/>
        <v>51292.854769318095</v>
      </c>
      <c r="N25">
        <v>24</v>
      </c>
      <c r="O25">
        <v>371940.61999976175</v>
      </c>
    </row>
    <row r="26" spans="3:15" x14ac:dyDescent="0.35">
      <c r="C26" s="2"/>
      <c r="D26" s="2">
        <v>10</v>
      </c>
      <c r="E26" s="2">
        <f t="shared" si="6"/>
        <v>39</v>
      </c>
      <c r="F26" s="11">
        <f t="shared" ca="1" si="0"/>
        <v>4.068480082416253E-2</v>
      </c>
      <c r="G26" s="12">
        <f t="shared" ca="1" si="7"/>
        <v>95464.142308693001</v>
      </c>
      <c r="H26" s="12">
        <f t="shared" ca="1" si="1"/>
        <v>2863.92426926079</v>
      </c>
      <c r="I26" s="12">
        <f t="shared" ca="1" si="2"/>
        <v>2863.92426926079</v>
      </c>
      <c r="J26" s="12">
        <f t="shared" ca="1" si="3"/>
        <v>5727.8485385215799</v>
      </c>
      <c r="K26" s="12">
        <f t="shared" ca="1" si="4"/>
        <v>2047.4924157637558</v>
      </c>
      <c r="L26" s="12">
        <f t="shared" ca="1" si="5"/>
        <v>59068.195723603429</v>
      </c>
      <c r="N26">
        <v>25</v>
      </c>
      <c r="O26">
        <v>350157.37409281731</v>
      </c>
    </row>
    <row r="27" spans="3:15" x14ac:dyDescent="0.35">
      <c r="C27" s="2"/>
      <c r="D27" s="2">
        <v>11</v>
      </c>
      <c r="E27" s="2">
        <f t="shared" si="6"/>
        <v>40</v>
      </c>
      <c r="F27" s="11">
        <f t="shared" ca="1" si="0"/>
        <v>3.7127109838653839E-2</v>
      </c>
      <c r="G27" s="12">
        <f t="shared" ca="1" si="7"/>
        <v>99008.450005840728</v>
      </c>
      <c r="H27" s="12">
        <f t="shared" ca="1" si="1"/>
        <v>2970.2535001752217</v>
      </c>
      <c r="I27" s="12">
        <f t="shared" ca="1" si="2"/>
        <v>2970.2535001752217</v>
      </c>
      <c r="J27" s="12">
        <f t="shared" ca="1" si="3"/>
        <v>5940.5070003504434</v>
      </c>
      <c r="K27" s="12">
        <f t="shared" ca="1" si="4"/>
        <v>2316.7012970742699</v>
      </c>
      <c r="L27" s="12">
        <f t="shared" ca="1" si="5"/>
        <v>67325.404021028138</v>
      </c>
      <c r="N27">
        <v>26</v>
      </c>
      <c r="O27">
        <v>340725.8845684618</v>
      </c>
    </row>
    <row r="28" spans="3:15" x14ac:dyDescent="0.35">
      <c r="C28" s="2"/>
      <c r="D28" s="2">
        <v>12</v>
      </c>
      <c r="E28" s="2">
        <f t="shared" si="6"/>
        <v>41</v>
      </c>
      <c r="F28" s="11">
        <f t="shared" ca="1" si="0"/>
        <v>3.6518457340695754E-2</v>
      </c>
      <c r="G28" s="12">
        <f t="shared" ca="1" si="7"/>
        <v>102624.08586374743</v>
      </c>
      <c r="H28" s="12">
        <f t="shared" ca="1" si="1"/>
        <v>3078.7225759124226</v>
      </c>
      <c r="I28" s="12">
        <f t="shared" ca="1" si="2"/>
        <v>3078.7225759124226</v>
      </c>
      <c r="J28" s="12">
        <f t="shared" ca="1" si="3"/>
        <v>6157.4451518248452</v>
      </c>
      <c r="K28" s="12">
        <f t="shared" ca="1" si="4"/>
        <v>2595.9051260907409</v>
      </c>
      <c r="L28" s="12">
        <f t="shared" ca="1" si="5"/>
        <v>76078.754298943721</v>
      </c>
      <c r="N28">
        <v>27</v>
      </c>
      <c r="O28">
        <v>359676.90476566949</v>
      </c>
    </row>
    <row r="29" spans="3:15" x14ac:dyDescent="0.35">
      <c r="C29" s="2"/>
      <c r="D29" s="2">
        <v>13</v>
      </c>
      <c r="E29" s="2">
        <f t="shared" si="6"/>
        <v>42</v>
      </c>
      <c r="F29" s="11">
        <f t="shared" ca="1" si="0"/>
        <v>4.0639253870546357E-2</v>
      </c>
      <c r="G29" s="12">
        <f t="shared" ca="1" si="7"/>
        <v>106794.65214239703</v>
      </c>
      <c r="H29" s="12">
        <f t="shared" ca="1" si="1"/>
        <v>3203.8395642719106</v>
      </c>
      <c r="I29" s="12">
        <f t="shared" ca="1" si="2"/>
        <v>3203.8395642719106</v>
      </c>
      <c r="J29" s="12">
        <f t="shared" ca="1" si="3"/>
        <v>6407.6791285438212</v>
      </c>
      <c r="K29" s="12">
        <f t="shared" ca="1" si="4"/>
        <v>2885.3050482265085</v>
      </c>
      <c r="L29" s="12">
        <f t="shared" ca="1" si="5"/>
        <v>85371.738475714053</v>
      </c>
      <c r="N29">
        <v>28</v>
      </c>
      <c r="O29">
        <v>332643.00311858568</v>
      </c>
    </row>
    <row r="30" spans="3:15" x14ac:dyDescent="0.35">
      <c r="C30" s="2"/>
      <c r="D30" s="2">
        <v>14</v>
      </c>
      <c r="E30" s="2">
        <f t="shared" si="6"/>
        <v>43</v>
      </c>
      <c r="F30" s="11">
        <f t="shared" ca="1" si="0"/>
        <v>3.8540267162268729E-2</v>
      </c>
      <c r="G30" s="12">
        <f t="shared" ca="1" si="7"/>
        <v>110910.54656746656</v>
      </c>
      <c r="H30" s="12">
        <f t="shared" ca="1" si="1"/>
        <v>3327.3163970239966</v>
      </c>
      <c r="I30" s="12">
        <f t="shared" ca="1" si="2"/>
        <v>3327.3163970239966</v>
      </c>
      <c r="J30" s="12">
        <f t="shared" ca="1" si="3"/>
        <v>6654.6327940479932</v>
      </c>
      <c r="K30" s="12">
        <f t="shared" ca="1" si="4"/>
        <v>3186.4659672680682</v>
      </c>
      <c r="L30" s="12">
        <f t="shared" ca="1" si="5"/>
        <v>95212.837237030122</v>
      </c>
      <c r="N30">
        <v>29</v>
      </c>
      <c r="O30">
        <v>362529.01390086004</v>
      </c>
    </row>
    <row r="31" spans="3:15" x14ac:dyDescent="0.35">
      <c r="C31" s="2"/>
      <c r="D31" s="2">
        <v>15</v>
      </c>
      <c r="E31" s="2">
        <f t="shared" si="6"/>
        <v>44</v>
      </c>
      <c r="F31" s="11">
        <f t="shared" ca="1" si="0"/>
        <v>3.6358437930885647E-2</v>
      </c>
      <c r="G31" s="12">
        <f t="shared" ca="1" si="7"/>
        <v>114943.0807907204</v>
      </c>
      <c r="H31" s="12">
        <f t="shared" ca="1" si="1"/>
        <v>3448.2924237216121</v>
      </c>
      <c r="I31" s="12">
        <f t="shared" ca="1" si="2"/>
        <v>3448.2924237216121</v>
      </c>
      <c r="J31" s="12">
        <f t="shared" ca="1" si="3"/>
        <v>6896.5848474432241</v>
      </c>
      <c r="K31" s="12">
        <f t="shared" ca="1" si="4"/>
        <v>3499.2337085883237</v>
      </c>
      <c r="L31" s="12">
        <f t="shared" ca="1" si="5"/>
        <v>105608.65579306167</v>
      </c>
      <c r="N31">
        <v>30</v>
      </c>
      <c r="O31">
        <v>365703.82100505376</v>
      </c>
    </row>
    <row r="32" spans="3:15" x14ac:dyDescent="0.35">
      <c r="C32" s="2"/>
      <c r="D32" s="2">
        <v>16</v>
      </c>
      <c r="E32" s="2">
        <f t="shared" si="6"/>
        <v>45</v>
      </c>
      <c r="F32" s="11">
        <f t="shared" ca="1" si="0"/>
        <v>3.3933360191383287E-2</v>
      </c>
      <c r="G32" s="12">
        <f t="shared" ca="1" si="7"/>
        <v>118843.4857526992</v>
      </c>
      <c r="H32" s="12">
        <f t="shared" ca="1" si="1"/>
        <v>3565.3045725809757</v>
      </c>
      <c r="I32" s="12">
        <f t="shared" ca="1" si="2"/>
        <v>3565.3045725809757</v>
      </c>
      <c r="J32" s="12">
        <f t="shared" ca="1" si="3"/>
        <v>7130.6091451619513</v>
      </c>
      <c r="K32" s="12">
        <f t="shared" ca="1" si="4"/>
        <v>3823.3731964181552</v>
      </c>
      <c r="L32" s="12">
        <f t="shared" ca="1" si="5"/>
        <v>116562.63813464178</v>
      </c>
      <c r="N32">
        <v>31</v>
      </c>
      <c r="O32">
        <v>361179.9521439352</v>
      </c>
    </row>
    <row r="33" spans="3:15" x14ac:dyDescent="0.35">
      <c r="C33" s="2"/>
      <c r="D33" s="2">
        <v>17</v>
      </c>
      <c r="E33" s="2">
        <f t="shared" si="6"/>
        <v>46</v>
      </c>
      <c r="F33" s="11">
        <f t="shared" ca="1" si="0"/>
        <v>1.9032389143045721E-2</v>
      </c>
      <c r="G33" s="12">
        <f t="shared" ca="1" si="7"/>
        <v>121105.36122066058</v>
      </c>
      <c r="H33" s="12">
        <f t="shared" ca="1" si="1"/>
        <v>3633.160836619817</v>
      </c>
      <c r="I33" s="12">
        <f t="shared" ca="1" si="2"/>
        <v>3633.160836619817</v>
      </c>
      <c r="J33" s="12">
        <f t="shared" ca="1" si="3"/>
        <v>7266.321673239634</v>
      </c>
      <c r="K33" s="12">
        <f t="shared" ca="1" si="4"/>
        <v>4158.5118262407668</v>
      </c>
      <c r="L33" s="12">
        <f t="shared" ca="1" si="5"/>
        <v>127987.47163412218</v>
      </c>
      <c r="N33">
        <v>32</v>
      </c>
      <c r="O33">
        <v>353204.50416815508</v>
      </c>
    </row>
    <row r="34" spans="3:15" x14ac:dyDescent="0.35">
      <c r="C34" s="2"/>
      <c r="D34" s="2">
        <v>18</v>
      </c>
      <c r="E34" s="2">
        <f t="shared" si="6"/>
        <v>47</v>
      </c>
      <c r="F34" s="11">
        <f t="shared" ca="1" si="0"/>
        <v>3.8965382006860567E-2</v>
      </c>
      <c r="G34" s="12">
        <f t="shared" ca="1" si="7"/>
        <v>125824.27788370245</v>
      </c>
      <c r="H34" s="12">
        <f t="shared" ca="1" si="1"/>
        <v>3774.7283365110734</v>
      </c>
      <c r="I34" s="12">
        <f t="shared" ca="1" si="2"/>
        <v>3774.7283365110734</v>
      </c>
      <c r="J34" s="12">
        <f t="shared" ca="1" si="3"/>
        <v>7549.4566730221468</v>
      </c>
      <c r="K34" s="12">
        <f t="shared" ca="1" si="4"/>
        <v>4500.0289448830299</v>
      </c>
      <c r="L34" s="12">
        <f t="shared" ca="1" si="5"/>
        <v>140036.95725202735</v>
      </c>
      <c r="N34">
        <v>33</v>
      </c>
      <c r="O34">
        <v>355640.24680438737</v>
      </c>
    </row>
    <row r="35" spans="3:15" x14ac:dyDescent="0.35">
      <c r="C35" s="2"/>
      <c r="D35" s="2">
        <v>19</v>
      </c>
      <c r="E35" s="2">
        <f t="shared" si="6"/>
        <v>48</v>
      </c>
      <c r="F35" s="11">
        <f t="shared" ca="1" si="0"/>
        <v>2.0875096171922368E-2</v>
      </c>
      <c r="G35" s="12">
        <f t="shared" ca="1" si="7"/>
        <v>128450.87178528743</v>
      </c>
      <c r="H35" s="12">
        <f t="shared" ca="1" si="1"/>
        <v>3853.5261535586228</v>
      </c>
      <c r="I35" s="12">
        <f t="shared" ca="1" si="2"/>
        <v>3853.5261535586228</v>
      </c>
      <c r="J35" s="12">
        <f t="shared" ca="1" si="3"/>
        <v>7707.0523071172456</v>
      </c>
      <c r="K35" s="12">
        <f t="shared" ca="1" si="4"/>
        <v>4854.8534085150704</v>
      </c>
      <c r="L35" s="12">
        <f t="shared" ca="1" si="5"/>
        <v>152598.86296765966</v>
      </c>
      <c r="N35">
        <v>34</v>
      </c>
      <c r="O35">
        <v>367229.98720412375</v>
      </c>
    </row>
    <row r="36" spans="3:15" x14ac:dyDescent="0.35">
      <c r="C36" s="2"/>
      <c r="D36" s="2">
        <v>20</v>
      </c>
      <c r="E36" s="2">
        <f t="shared" si="6"/>
        <v>49</v>
      </c>
      <c r="F36" s="11">
        <f t="shared" ca="1" si="0"/>
        <v>2.7786261106984067E-2</v>
      </c>
      <c r="G36" s="12">
        <f t="shared" ca="1" si="7"/>
        <v>132020.04124813317</v>
      </c>
      <c r="H36" s="12">
        <f t="shared" ca="1" si="1"/>
        <v>3960.6012374439952</v>
      </c>
      <c r="I36" s="12">
        <f t="shared" ca="1" si="2"/>
        <v>3960.6012374439952</v>
      </c>
      <c r="J36" s="12">
        <f t="shared" ca="1" si="3"/>
        <v>7921.2024748879903</v>
      </c>
      <c r="K36" s="12">
        <f t="shared" ca="1" si="4"/>
        <v>5217.0848669495808</v>
      </c>
      <c r="L36" s="12">
        <f t="shared" ca="1" si="5"/>
        <v>165737.15030949723</v>
      </c>
      <c r="N36">
        <v>35</v>
      </c>
      <c r="O36">
        <v>361099.31471405039</v>
      </c>
    </row>
    <row r="37" spans="3:15" x14ac:dyDescent="0.35">
      <c r="C37" s="2"/>
      <c r="D37" s="2">
        <v>21</v>
      </c>
      <c r="E37" s="2">
        <f t="shared" si="6"/>
        <v>50</v>
      </c>
      <c r="F37" s="11">
        <f t="shared" ca="1" si="0"/>
        <v>2.6840599412624719E-2</v>
      </c>
      <c r="G37" s="12">
        <f t="shared" ca="1" si="7"/>
        <v>135563.53828971251</v>
      </c>
      <c r="H37" s="12">
        <f t="shared" ca="1" si="1"/>
        <v>4066.9061486913752</v>
      </c>
      <c r="I37" s="12">
        <f t="shared" ca="1" si="2"/>
        <v>4066.9061486913752</v>
      </c>
      <c r="J37" s="12">
        <f t="shared" ca="1" si="3"/>
        <v>8133.8122973827503</v>
      </c>
      <c r="K37" s="12">
        <f t="shared" ca="1" si="4"/>
        <v>5589.3813832693168</v>
      </c>
      <c r="L37" s="12">
        <f t="shared" ca="1" si="5"/>
        <v>179460.3439901493</v>
      </c>
      <c r="N37">
        <v>36</v>
      </c>
      <c r="O37">
        <v>354828.61479935941</v>
      </c>
    </row>
    <row r="38" spans="3:15" x14ac:dyDescent="0.35">
      <c r="C38" s="2"/>
      <c r="D38" s="2">
        <v>22</v>
      </c>
      <c r="E38" s="2">
        <f t="shared" si="6"/>
        <v>51</v>
      </c>
      <c r="F38" s="11">
        <f t="shared" ca="1" si="0"/>
        <v>3.9288916740633562E-2</v>
      </c>
      <c r="G38" s="12">
        <f t="shared" ca="1" si="7"/>
        <v>140889.68285864271</v>
      </c>
      <c r="H38" s="12">
        <f t="shared" ca="1" si="1"/>
        <v>4226.6904857592817</v>
      </c>
      <c r="I38" s="12">
        <f t="shared" ca="1" si="2"/>
        <v>4226.6904857592817</v>
      </c>
      <c r="J38" s="12">
        <f t="shared" ca="1" si="3"/>
        <v>8453.3809715185635</v>
      </c>
      <c r="K38" s="12">
        <f t="shared" ca="1" si="4"/>
        <v>5971.6705612463056</v>
      </c>
      <c r="L38" s="12">
        <f t="shared" ca="1" si="5"/>
        <v>193885.39552291416</v>
      </c>
      <c r="N38">
        <v>37</v>
      </c>
      <c r="O38">
        <v>371277.9370845221</v>
      </c>
    </row>
    <row r="39" spans="3:15" x14ac:dyDescent="0.35">
      <c r="C39" s="2"/>
      <c r="D39" s="2">
        <v>23</v>
      </c>
      <c r="E39" s="2">
        <f t="shared" si="6"/>
        <v>52</v>
      </c>
      <c r="F39" s="11">
        <f t="shared" ca="1" si="0"/>
        <v>4.8415380710942063E-2</v>
      </c>
      <c r="G39" s="12">
        <f t="shared" ca="1" si="7"/>
        <v>147710.91049248778</v>
      </c>
      <c r="H39" s="12">
        <f t="shared" ca="1" si="1"/>
        <v>4431.3273147746331</v>
      </c>
      <c r="I39" s="12">
        <f t="shared" ca="1" si="2"/>
        <v>4431.3273147746331</v>
      </c>
      <c r="J39" s="12">
        <f t="shared" ca="1" si="3"/>
        <v>8862.6546295492662</v>
      </c>
      <c r="K39" s="12">
        <f t="shared" ca="1" si="4"/>
        <v>6368.9794669076782</v>
      </c>
      <c r="L39" s="12">
        <f t="shared" ca="1" si="5"/>
        <v>209117.02961937111</v>
      </c>
      <c r="N39">
        <v>38</v>
      </c>
      <c r="O39">
        <v>362095.53455436247</v>
      </c>
    </row>
    <row r="40" spans="3:15" x14ac:dyDescent="0.35">
      <c r="C40" s="2"/>
      <c r="D40" s="2">
        <v>24</v>
      </c>
      <c r="E40" s="2">
        <f t="shared" si="6"/>
        <v>53</v>
      </c>
      <c r="F40" s="11">
        <f t="shared" ca="1" si="0"/>
        <v>3.2664935826704149E-2</v>
      </c>
      <c r="G40" s="12">
        <f t="shared" ca="1" si="7"/>
        <v>152535.87790462893</v>
      </c>
      <c r="H40" s="12">
        <f t="shared" ca="1" si="1"/>
        <v>4576.0763371388675</v>
      </c>
      <c r="I40" s="12">
        <f t="shared" ca="1" si="2"/>
        <v>4576.0763371388675</v>
      </c>
      <c r="J40" s="12">
        <f t="shared" ca="1" si="3"/>
        <v>9152.1526742777351</v>
      </c>
      <c r="K40" s="12">
        <f t="shared" ca="1" si="4"/>
        <v>6785.5242344964936</v>
      </c>
      <c r="L40" s="12">
        <f t="shared" ca="1" si="5"/>
        <v>225054.70652814535</v>
      </c>
      <c r="N40">
        <v>39</v>
      </c>
      <c r="O40">
        <v>364830.01411782642</v>
      </c>
    </row>
    <row r="41" spans="3:15" x14ac:dyDescent="0.35">
      <c r="C41" s="2"/>
      <c r="D41" s="2">
        <v>25</v>
      </c>
      <c r="E41" s="2">
        <f t="shared" si="6"/>
        <v>54</v>
      </c>
      <c r="F41" s="11">
        <f t="shared" ca="1" si="0"/>
        <v>2.5948722423124255E-2</v>
      </c>
      <c r="G41" s="12">
        <f t="shared" ca="1" si="7"/>
        <v>156493.98905994373</v>
      </c>
      <c r="H41" s="12">
        <f t="shared" ca="1" si="1"/>
        <v>4694.8196717983119</v>
      </c>
      <c r="I41" s="12">
        <f t="shared" ca="1" si="2"/>
        <v>4694.8196717983119</v>
      </c>
      <c r="J41" s="12">
        <f t="shared" ca="1" si="3"/>
        <v>9389.6393435966238</v>
      </c>
      <c r="K41" s="12">
        <f t="shared" ca="1" si="4"/>
        <v>7215.6754101875467</v>
      </c>
      <c r="L41" s="12">
        <f t="shared" ca="1" si="5"/>
        <v>241660.02128192951</v>
      </c>
      <c r="N41">
        <v>40</v>
      </c>
      <c r="O41">
        <v>347633.15004266798</v>
      </c>
    </row>
    <row r="42" spans="3:15" x14ac:dyDescent="0.35">
      <c r="C42" s="2"/>
      <c r="D42" s="2">
        <v>26</v>
      </c>
      <c r="E42" s="2">
        <f t="shared" si="6"/>
        <v>55</v>
      </c>
      <c r="F42" s="11">
        <f t="shared" ca="1" si="0"/>
        <v>3.1123322923328089E-2</v>
      </c>
      <c r="G42" s="12">
        <f t="shared" ca="1" si="7"/>
        <v>161364.60201701615</v>
      </c>
      <c r="H42" s="12">
        <f t="shared" ca="1" si="1"/>
        <v>4840.9380605104843</v>
      </c>
      <c r="I42" s="12">
        <f t="shared" ca="1" si="2"/>
        <v>4840.9380605104843</v>
      </c>
      <c r="J42" s="12">
        <f t="shared" ca="1" si="3"/>
        <v>9681.8761210209686</v>
      </c>
      <c r="K42" s="12">
        <f t="shared" ca="1" si="4"/>
        <v>7656.9884593365878</v>
      </c>
      <c r="L42" s="12">
        <f t="shared" ca="1" si="5"/>
        <v>258998.88586228708</v>
      </c>
      <c r="N42">
        <v>41</v>
      </c>
      <c r="O42">
        <v>385829.17700206768</v>
      </c>
    </row>
    <row r="43" spans="3:15" x14ac:dyDescent="0.35">
      <c r="C43" s="2"/>
      <c r="D43" s="2">
        <v>27</v>
      </c>
      <c r="E43" s="2">
        <f t="shared" si="6"/>
        <v>56</v>
      </c>
      <c r="F43" s="11">
        <f t="shared" ca="1" si="0"/>
        <v>4.1585328508009799E-2</v>
      </c>
      <c r="G43" s="12">
        <f t="shared" ca="1" si="7"/>
        <v>168075.00200145805</v>
      </c>
      <c r="H43" s="12">
        <f t="shared" ca="1" si="1"/>
        <v>5042.2500600437415</v>
      </c>
      <c r="I43" s="12">
        <f t="shared" ca="1" si="2"/>
        <v>5042.2500600437415</v>
      </c>
      <c r="J43" s="12">
        <f t="shared" ca="1" si="3"/>
        <v>10084.500120087483</v>
      </c>
      <c r="K43" s="12">
        <f t="shared" ca="1" si="4"/>
        <v>8112.0366370245729</v>
      </c>
      <c r="L43" s="12">
        <f t="shared" ca="1" si="5"/>
        <v>277195.42261939915</v>
      </c>
      <c r="N43">
        <v>42</v>
      </c>
      <c r="O43">
        <v>359976.32576491474</v>
      </c>
    </row>
    <row r="44" spans="3:15" x14ac:dyDescent="0.35">
      <c r="C44" s="2"/>
      <c r="D44" s="2">
        <v>28</v>
      </c>
      <c r="E44" s="2">
        <f t="shared" si="6"/>
        <v>57</v>
      </c>
      <c r="F44" s="11">
        <f t="shared" ca="1" si="0"/>
        <v>4.4821762783670269E-2</v>
      </c>
      <c r="G44" s="12">
        <f t="shared" ca="1" si="7"/>
        <v>175608.4198710323</v>
      </c>
      <c r="H44" s="12">
        <f t="shared" ca="1" si="1"/>
        <v>5268.2525961309684</v>
      </c>
      <c r="I44" s="12">
        <f t="shared" ca="1" si="2"/>
        <v>5268.2525961309684</v>
      </c>
      <c r="J44" s="12">
        <f t="shared" ca="1" si="3"/>
        <v>10536.505192261937</v>
      </c>
      <c r="K44" s="12">
        <f t="shared" ca="1" si="4"/>
        <v>8586.0081426686847</v>
      </c>
      <c r="L44" s="12">
        <f t="shared" ca="1" si="5"/>
        <v>296317.93595432979</v>
      </c>
      <c r="N44">
        <v>43</v>
      </c>
      <c r="O44">
        <v>357689.35421980632</v>
      </c>
    </row>
    <row r="45" spans="3:15" x14ac:dyDescent="0.35">
      <c r="C45" s="2"/>
      <c r="D45" s="2">
        <v>29</v>
      </c>
      <c r="E45" s="2">
        <f t="shared" si="6"/>
        <v>58</v>
      </c>
      <c r="F45" s="11">
        <f t="shared" ca="1" si="0"/>
        <v>3.565524954417526E-2</v>
      </c>
      <c r="G45" s="12">
        <f t="shared" ca="1" si="7"/>
        <v>181869.78190359226</v>
      </c>
      <c r="H45" s="12">
        <f t="shared" ca="1" si="1"/>
        <v>5456.0934571077678</v>
      </c>
      <c r="I45" s="12">
        <f t="shared" ca="1" si="2"/>
        <v>5456.0934571077678</v>
      </c>
      <c r="J45" s="12">
        <f t="shared" ca="1" si="3"/>
        <v>10912.186914215536</v>
      </c>
      <c r="K45" s="12">
        <f t="shared" ca="1" si="4"/>
        <v>9081.2238867049964</v>
      </c>
      <c r="L45" s="12">
        <f t="shared" ca="1" si="5"/>
        <v>316311.3467552503</v>
      </c>
      <c r="N45">
        <v>44</v>
      </c>
      <c r="O45">
        <v>359864.94670939597</v>
      </c>
    </row>
    <row r="46" spans="3:15" x14ac:dyDescent="0.35">
      <c r="C46" s="2"/>
      <c r="D46" s="2">
        <v>30</v>
      </c>
      <c r="E46" s="2">
        <f t="shared" si="6"/>
        <v>59</v>
      </c>
      <c r="F46" s="11">
        <f t="shared" ca="1" si="0"/>
        <v>3.8233535455291012E-2</v>
      </c>
      <c r="G46" s="12">
        <f t="shared" ca="1" si="7"/>
        <v>188823.30665824929</v>
      </c>
      <c r="H46" s="12">
        <f t="shared" ca="1" si="1"/>
        <v>5664.6991997474788</v>
      </c>
      <c r="I46" s="12">
        <f t="shared" ca="1" si="2"/>
        <v>5664.6991997474788</v>
      </c>
      <c r="J46" s="12">
        <f t="shared" ca="1" si="3"/>
        <v>11329.398399494958</v>
      </c>
      <c r="K46" s="12">
        <f t="shared" ca="1" si="4"/>
        <v>9594.0966716731273</v>
      </c>
      <c r="L46" s="12">
        <f t="shared" ca="1" si="5"/>
        <v>337234.84182641841</v>
      </c>
      <c r="N46">
        <v>45</v>
      </c>
      <c r="O46">
        <v>368780.82776502252</v>
      </c>
    </row>
    <row r="47" spans="3:15" x14ac:dyDescent="0.35">
      <c r="C47" s="2"/>
      <c r="D47" s="2">
        <v>31</v>
      </c>
      <c r="E47" s="2">
        <f t="shared" si="6"/>
        <v>60</v>
      </c>
      <c r="F47" s="11">
        <f t="shared" ca="1" si="0"/>
        <v>3.4466632935073065E-2</v>
      </c>
      <c r="G47" s="12">
        <f ca="1">G46*(1+F47)</f>
        <v>195331.41025842592</v>
      </c>
      <c r="H47" s="12">
        <f t="shared" ca="1" si="1"/>
        <v>5859.9423077527772</v>
      </c>
      <c r="I47" s="12">
        <f t="shared" ca="1" si="2"/>
        <v>5859.9423077527772</v>
      </c>
      <c r="J47" s="12">
        <f t="shared" ca="1" si="3"/>
        <v>11719.884615505554</v>
      </c>
      <c r="K47" s="12">
        <f t="shared" ca="1" si="4"/>
        <v>10126.578396449389</v>
      </c>
      <c r="L47" s="12">
        <f t="shared" ca="1" si="5"/>
        <v>359081.30483837338</v>
      </c>
      <c r="N47">
        <v>46</v>
      </c>
      <c r="O47">
        <v>359939.76879001356</v>
      </c>
    </row>
    <row r="48" spans="3:15" x14ac:dyDescent="0.35">
      <c r="C48" s="2"/>
      <c r="D48" s="2"/>
      <c r="E48" s="2"/>
      <c r="F48" s="11"/>
      <c r="G48" s="12"/>
      <c r="H48" s="12"/>
      <c r="I48" s="12"/>
      <c r="J48" s="12"/>
      <c r="K48" s="12"/>
      <c r="L48" s="12"/>
      <c r="N48">
        <v>47</v>
      </c>
      <c r="O48">
        <v>355116.23229272681</v>
      </c>
    </row>
    <row r="49" spans="3:15" x14ac:dyDescent="0.35">
      <c r="C49" s="2"/>
      <c r="D49" s="2"/>
      <c r="E49" s="2"/>
      <c r="F49" s="11"/>
      <c r="G49" s="12"/>
      <c r="H49" s="12"/>
      <c r="I49" s="12"/>
      <c r="J49" s="12"/>
      <c r="K49" s="12"/>
      <c r="L49" s="12"/>
      <c r="N49">
        <v>48</v>
      </c>
      <c r="O49">
        <v>351357.99814326485</v>
      </c>
    </row>
    <row r="50" spans="3:15" x14ac:dyDescent="0.35">
      <c r="C50" s="2"/>
      <c r="D50" s="2"/>
      <c r="E50" s="2"/>
      <c r="F50" s="11"/>
      <c r="G50" s="12"/>
      <c r="H50" s="12"/>
      <c r="I50" s="12"/>
      <c r="J50" s="12"/>
      <c r="K50" s="12"/>
      <c r="L50" s="12"/>
      <c r="N50">
        <v>49</v>
      </c>
      <c r="O50">
        <v>353969.71247294667</v>
      </c>
    </row>
    <row r="51" spans="3:15" x14ac:dyDescent="0.35">
      <c r="C51" s="2"/>
      <c r="D51" s="2"/>
      <c r="E51" s="2"/>
      <c r="F51" s="11"/>
      <c r="G51" s="12"/>
      <c r="H51" s="12"/>
      <c r="I51" s="12"/>
      <c r="J51" s="12"/>
      <c r="K51" s="12"/>
      <c r="L51" s="12"/>
      <c r="N51">
        <v>50</v>
      </c>
      <c r="O51">
        <v>357967.3492639091</v>
      </c>
    </row>
    <row r="52" spans="3:15" x14ac:dyDescent="0.35">
      <c r="C52" s="2"/>
      <c r="D52" s="2"/>
      <c r="E52" s="2"/>
      <c r="F52" s="11"/>
      <c r="G52" s="12"/>
      <c r="H52" s="12"/>
      <c r="I52" s="12"/>
      <c r="J52" s="12"/>
      <c r="K52" s="12"/>
      <c r="L52" s="12"/>
      <c r="N52">
        <v>51</v>
      </c>
      <c r="O52">
        <v>353161.43936302094</v>
      </c>
    </row>
    <row r="53" spans="3:15" x14ac:dyDescent="0.35">
      <c r="N53">
        <v>52</v>
      </c>
      <c r="O53">
        <v>364742.91405850148</v>
      </c>
    </row>
    <row r="54" spans="3:15" x14ac:dyDescent="0.35">
      <c r="N54">
        <v>53</v>
      </c>
      <c r="O54">
        <v>368521.90025469312</v>
      </c>
    </row>
    <row r="55" spans="3:15" x14ac:dyDescent="0.35">
      <c r="N55">
        <v>54</v>
      </c>
      <c r="O55">
        <v>370458.43088835798</v>
      </c>
    </row>
    <row r="56" spans="3:15" x14ac:dyDescent="0.35">
      <c r="N56">
        <v>55</v>
      </c>
      <c r="O56">
        <v>361513.62135712872</v>
      </c>
    </row>
    <row r="57" spans="3:15" x14ac:dyDescent="0.35">
      <c r="N57">
        <v>56</v>
      </c>
      <c r="O57">
        <v>360814.84866444062</v>
      </c>
    </row>
    <row r="58" spans="3:15" x14ac:dyDescent="0.35">
      <c r="N58">
        <v>57</v>
      </c>
      <c r="O58">
        <v>344480.92284004216</v>
      </c>
    </row>
    <row r="59" spans="3:15" x14ac:dyDescent="0.35">
      <c r="N59">
        <v>58</v>
      </c>
      <c r="O59">
        <v>366472.14467749977</v>
      </c>
    </row>
    <row r="60" spans="3:15" x14ac:dyDescent="0.35">
      <c r="N60">
        <v>59</v>
      </c>
      <c r="O60">
        <v>361754.24048343173</v>
      </c>
    </row>
    <row r="61" spans="3:15" x14ac:dyDescent="0.35">
      <c r="N61">
        <v>60</v>
      </c>
      <c r="O61">
        <v>352143.18858304538</v>
      </c>
    </row>
    <row r="62" spans="3:15" x14ac:dyDescent="0.35">
      <c r="N62">
        <v>61</v>
      </c>
      <c r="O62">
        <v>354166.29409660504</v>
      </c>
    </row>
    <row r="63" spans="3:15" x14ac:dyDescent="0.35">
      <c r="N63">
        <v>62</v>
      </c>
      <c r="O63">
        <v>364331.46828567877</v>
      </c>
    </row>
    <row r="64" spans="3:15" x14ac:dyDescent="0.35">
      <c r="N64">
        <v>63</v>
      </c>
      <c r="O64">
        <v>367335.22420062264</v>
      </c>
    </row>
    <row r="65" spans="14:15" x14ac:dyDescent="0.35">
      <c r="N65">
        <v>64</v>
      </c>
      <c r="O65">
        <v>363411.48797440773</v>
      </c>
    </row>
    <row r="66" spans="14:15" x14ac:dyDescent="0.35">
      <c r="N66">
        <v>65</v>
      </c>
      <c r="O66">
        <v>351998.83483343467</v>
      </c>
    </row>
    <row r="67" spans="14:15" x14ac:dyDescent="0.35">
      <c r="N67">
        <v>66</v>
      </c>
      <c r="O67">
        <v>356212.38718112081</v>
      </c>
    </row>
    <row r="68" spans="14:15" x14ac:dyDescent="0.35">
      <c r="N68">
        <v>67</v>
      </c>
      <c r="O68">
        <v>354074.51869796572</v>
      </c>
    </row>
    <row r="69" spans="14:15" x14ac:dyDescent="0.35">
      <c r="N69">
        <v>68</v>
      </c>
      <c r="O69">
        <v>371075.08296837576</v>
      </c>
    </row>
    <row r="70" spans="14:15" x14ac:dyDescent="0.35">
      <c r="N70">
        <v>69</v>
      </c>
      <c r="O70">
        <v>342840.88165593892</v>
      </c>
    </row>
    <row r="71" spans="14:15" x14ac:dyDescent="0.35">
      <c r="N71">
        <v>70</v>
      </c>
      <c r="O71">
        <v>369176.24119158037</v>
      </c>
    </row>
    <row r="72" spans="14:15" x14ac:dyDescent="0.35">
      <c r="N72">
        <v>71</v>
      </c>
      <c r="O72">
        <v>354202.00009262993</v>
      </c>
    </row>
    <row r="73" spans="14:15" x14ac:dyDescent="0.35">
      <c r="N73">
        <v>72</v>
      </c>
      <c r="O73">
        <v>359324.95189766982</v>
      </c>
    </row>
    <row r="74" spans="14:15" x14ac:dyDescent="0.35">
      <c r="N74">
        <v>73</v>
      </c>
      <c r="O74">
        <v>356818.81359860266</v>
      </c>
    </row>
    <row r="75" spans="14:15" x14ac:dyDescent="0.35">
      <c r="N75">
        <v>74</v>
      </c>
      <c r="O75">
        <v>361306.81669342087</v>
      </c>
    </row>
    <row r="76" spans="14:15" x14ac:dyDescent="0.35">
      <c r="N76">
        <v>75</v>
      </c>
      <c r="O76">
        <v>347925.46736575459</v>
      </c>
    </row>
    <row r="77" spans="14:15" x14ac:dyDescent="0.35">
      <c r="N77">
        <v>76</v>
      </c>
      <c r="O77">
        <v>361344.7871575274</v>
      </c>
    </row>
    <row r="78" spans="14:15" x14ac:dyDescent="0.35">
      <c r="N78">
        <v>77</v>
      </c>
      <c r="O78">
        <v>369326.50067025865</v>
      </c>
    </row>
    <row r="79" spans="14:15" x14ac:dyDescent="0.35">
      <c r="N79">
        <v>78</v>
      </c>
      <c r="O79">
        <v>368020.6168758354</v>
      </c>
    </row>
    <row r="80" spans="14:15" x14ac:dyDescent="0.35">
      <c r="N80">
        <v>79</v>
      </c>
      <c r="O80">
        <v>365439.88258570898</v>
      </c>
    </row>
    <row r="81" spans="14:15" x14ac:dyDescent="0.35">
      <c r="N81">
        <v>80</v>
      </c>
      <c r="O81">
        <v>352600.83741854108</v>
      </c>
    </row>
    <row r="82" spans="14:15" x14ac:dyDescent="0.35">
      <c r="N82">
        <v>81</v>
      </c>
      <c r="O82">
        <v>372895.57560759265</v>
      </c>
    </row>
    <row r="83" spans="14:15" x14ac:dyDescent="0.35">
      <c r="N83">
        <v>82</v>
      </c>
      <c r="O83">
        <v>363842.32817116287</v>
      </c>
    </row>
    <row r="84" spans="14:15" x14ac:dyDescent="0.35">
      <c r="N84">
        <v>83</v>
      </c>
      <c r="O84">
        <v>364499.25334003463</v>
      </c>
    </row>
    <row r="85" spans="14:15" x14ac:dyDescent="0.35">
      <c r="N85">
        <v>84</v>
      </c>
      <c r="O85">
        <v>367831.63279118354</v>
      </c>
    </row>
    <row r="86" spans="14:15" x14ac:dyDescent="0.35">
      <c r="N86">
        <v>85</v>
      </c>
      <c r="O86">
        <v>379864.82476631179</v>
      </c>
    </row>
    <row r="87" spans="14:15" x14ac:dyDescent="0.35">
      <c r="N87">
        <v>86</v>
      </c>
      <c r="O87">
        <v>360131.85490965669</v>
      </c>
    </row>
    <row r="88" spans="14:15" x14ac:dyDescent="0.35">
      <c r="N88">
        <v>87</v>
      </c>
      <c r="O88">
        <v>369863.13172017288</v>
      </c>
    </row>
    <row r="89" spans="14:15" x14ac:dyDescent="0.35">
      <c r="N89">
        <v>88</v>
      </c>
      <c r="O89">
        <v>360586.25771961582</v>
      </c>
    </row>
    <row r="90" spans="14:15" x14ac:dyDescent="0.35">
      <c r="N90">
        <v>89</v>
      </c>
      <c r="O90">
        <v>356455.30239349726</v>
      </c>
    </row>
    <row r="91" spans="14:15" x14ac:dyDescent="0.35">
      <c r="N91">
        <v>90</v>
      </c>
      <c r="O91">
        <v>354807.88676757354</v>
      </c>
    </row>
    <row r="92" spans="14:15" x14ac:dyDescent="0.35">
      <c r="N92">
        <v>91</v>
      </c>
      <c r="O92">
        <v>367463.89495862339</v>
      </c>
    </row>
    <row r="93" spans="14:15" x14ac:dyDescent="0.35">
      <c r="N93">
        <v>92</v>
      </c>
      <c r="O93">
        <v>363550.77302874549</v>
      </c>
    </row>
    <row r="94" spans="14:15" x14ac:dyDescent="0.35">
      <c r="N94">
        <v>93</v>
      </c>
      <c r="O94">
        <v>362758.70688312862</v>
      </c>
    </row>
    <row r="95" spans="14:15" x14ac:dyDescent="0.35">
      <c r="N95">
        <v>94</v>
      </c>
      <c r="O95">
        <v>358473.21231122862</v>
      </c>
    </row>
    <row r="96" spans="14:15" x14ac:dyDescent="0.35">
      <c r="N96">
        <v>95</v>
      </c>
      <c r="O96">
        <v>359166.16434352426</v>
      </c>
    </row>
    <row r="97" spans="14:15" x14ac:dyDescent="0.35">
      <c r="N97">
        <v>96</v>
      </c>
      <c r="O97">
        <v>362182.11363795842</v>
      </c>
    </row>
    <row r="98" spans="14:15" x14ac:dyDescent="0.35">
      <c r="N98">
        <v>97</v>
      </c>
      <c r="O98">
        <v>338380.50115681323</v>
      </c>
    </row>
    <row r="99" spans="14:15" x14ac:dyDescent="0.35">
      <c r="N99">
        <v>98</v>
      </c>
      <c r="O99">
        <v>377802.31403536879</v>
      </c>
    </row>
    <row r="100" spans="14:15" x14ac:dyDescent="0.35">
      <c r="N100">
        <v>99</v>
      </c>
      <c r="O100">
        <v>351429.01738651271</v>
      </c>
    </row>
    <row r="101" spans="14:15" x14ac:dyDescent="0.35">
      <c r="N101">
        <v>100</v>
      </c>
      <c r="O101">
        <v>363694.49061676668</v>
      </c>
    </row>
    <row r="102" spans="14:15" x14ac:dyDescent="0.35">
      <c r="N102">
        <v>101</v>
      </c>
      <c r="O102">
        <v>363544.6225690553</v>
      </c>
    </row>
    <row r="103" spans="14:15" x14ac:dyDescent="0.35">
      <c r="N103">
        <v>102</v>
      </c>
      <c r="O103">
        <v>365281.50078008627</v>
      </c>
    </row>
    <row r="104" spans="14:15" x14ac:dyDescent="0.35">
      <c r="N104">
        <v>103</v>
      </c>
      <c r="O104">
        <v>358933.64565984393</v>
      </c>
    </row>
    <row r="105" spans="14:15" x14ac:dyDescent="0.35">
      <c r="N105">
        <v>104</v>
      </c>
      <c r="O105">
        <v>363476.94943948853</v>
      </c>
    </row>
    <row r="106" spans="14:15" x14ac:dyDescent="0.35">
      <c r="N106">
        <v>105</v>
      </c>
      <c r="O106">
        <v>367038.62363149767</v>
      </c>
    </row>
    <row r="107" spans="14:15" x14ac:dyDescent="0.35">
      <c r="N107">
        <v>106</v>
      </c>
      <c r="O107">
        <v>356418.97801951546</v>
      </c>
    </row>
    <row r="108" spans="14:15" x14ac:dyDescent="0.35">
      <c r="N108">
        <v>107</v>
      </c>
      <c r="O108">
        <v>363416.5724093318</v>
      </c>
    </row>
    <row r="109" spans="14:15" x14ac:dyDescent="0.35">
      <c r="N109">
        <v>108</v>
      </c>
      <c r="O109">
        <v>366381.14886598347</v>
      </c>
    </row>
    <row r="110" spans="14:15" x14ac:dyDescent="0.35">
      <c r="N110">
        <v>109</v>
      </c>
      <c r="O110">
        <v>359589.08035086986</v>
      </c>
    </row>
    <row r="111" spans="14:15" x14ac:dyDescent="0.35">
      <c r="N111">
        <v>110</v>
      </c>
      <c r="O111">
        <v>369651.22604217788</v>
      </c>
    </row>
    <row r="112" spans="14:15" x14ac:dyDescent="0.35">
      <c r="N112">
        <v>111</v>
      </c>
      <c r="O112">
        <v>356081.70753048791</v>
      </c>
    </row>
    <row r="113" spans="14:15" x14ac:dyDescent="0.35">
      <c r="N113">
        <v>112</v>
      </c>
      <c r="O113">
        <v>357879.21157420625</v>
      </c>
    </row>
    <row r="114" spans="14:15" x14ac:dyDescent="0.35">
      <c r="N114">
        <v>113</v>
      </c>
      <c r="O114">
        <v>363004.82628302008</v>
      </c>
    </row>
    <row r="115" spans="14:15" x14ac:dyDescent="0.35">
      <c r="N115">
        <v>114</v>
      </c>
      <c r="O115">
        <v>362283.18152076576</v>
      </c>
    </row>
    <row r="116" spans="14:15" x14ac:dyDescent="0.35">
      <c r="N116">
        <v>115</v>
      </c>
      <c r="O116">
        <v>370635.86930799781</v>
      </c>
    </row>
    <row r="117" spans="14:15" x14ac:dyDescent="0.35">
      <c r="N117">
        <v>116</v>
      </c>
      <c r="O117">
        <v>352297.29216916836</v>
      </c>
    </row>
    <row r="118" spans="14:15" x14ac:dyDescent="0.35">
      <c r="N118">
        <v>117</v>
      </c>
      <c r="O118">
        <v>367220.8019706746</v>
      </c>
    </row>
    <row r="119" spans="14:15" x14ac:dyDescent="0.35">
      <c r="N119">
        <v>118</v>
      </c>
      <c r="O119">
        <v>348357.68398821761</v>
      </c>
    </row>
    <row r="120" spans="14:15" x14ac:dyDescent="0.35">
      <c r="N120">
        <v>119</v>
      </c>
      <c r="O120">
        <v>352744.11215898278</v>
      </c>
    </row>
    <row r="121" spans="14:15" x14ac:dyDescent="0.35">
      <c r="N121">
        <v>120</v>
      </c>
      <c r="O121">
        <v>360283.39988396113</v>
      </c>
    </row>
    <row r="122" spans="14:15" x14ac:dyDescent="0.35">
      <c r="N122">
        <v>121</v>
      </c>
      <c r="O122">
        <v>363940.35412563826</v>
      </c>
    </row>
    <row r="123" spans="14:15" x14ac:dyDescent="0.35">
      <c r="N123">
        <v>122</v>
      </c>
      <c r="O123">
        <v>353530.54127316416</v>
      </c>
    </row>
    <row r="124" spans="14:15" x14ac:dyDescent="0.35">
      <c r="N124">
        <v>123</v>
      </c>
      <c r="O124">
        <v>359425.05866205733</v>
      </c>
    </row>
    <row r="125" spans="14:15" x14ac:dyDescent="0.35">
      <c r="N125">
        <v>124</v>
      </c>
      <c r="O125">
        <v>359389.08439324866</v>
      </c>
    </row>
    <row r="126" spans="14:15" x14ac:dyDescent="0.35">
      <c r="N126">
        <v>125</v>
      </c>
      <c r="O126">
        <v>355154.87897122727</v>
      </c>
    </row>
    <row r="127" spans="14:15" x14ac:dyDescent="0.35">
      <c r="N127">
        <v>126</v>
      </c>
      <c r="O127">
        <v>361242.1223803896</v>
      </c>
    </row>
    <row r="128" spans="14:15" x14ac:dyDescent="0.35">
      <c r="N128">
        <v>127</v>
      </c>
      <c r="O128">
        <v>356099.20907778217</v>
      </c>
    </row>
    <row r="129" spans="14:15" x14ac:dyDescent="0.35">
      <c r="N129">
        <v>128</v>
      </c>
      <c r="O129">
        <v>349237.07248851651</v>
      </c>
    </row>
    <row r="130" spans="14:15" x14ac:dyDescent="0.35">
      <c r="N130">
        <v>129</v>
      </c>
      <c r="O130">
        <v>370448.93866059696</v>
      </c>
    </row>
    <row r="131" spans="14:15" x14ac:dyDescent="0.35">
      <c r="N131">
        <v>130</v>
      </c>
      <c r="O131">
        <v>354703.20319457276</v>
      </c>
    </row>
    <row r="132" spans="14:15" x14ac:dyDescent="0.35">
      <c r="N132">
        <v>131</v>
      </c>
      <c r="O132">
        <v>371426.54184324329</v>
      </c>
    </row>
    <row r="133" spans="14:15" x14ac:dyDescent="0.35">
      <c r="N133">
        <v>132</v>
      </c>
      <c r="O133">
        <v>363188.47390021803</v>
      </c>
    </row>
    <row r="134" spans="14:15" x14ac:dyDescent="0.35">
      <c r="N134">
        <v>133</v>
      </c>
      <c r="O134">
        <v>355956.09904059547</v>
      </c>
    </row>
    <row r="135" spans="14:15" x14ac:dyDescent="0.35">
      <c r="N135">
        <v>134</v>
      </c>
      <c r="O135">
        <v>352475.80563026556</v>
      </c>
    </row>
    <row r="136" spans="14:15" x14ac:dyDescent="0.35">
      <c r="N136">
        <v>135</v>
      </c>
      <c r="O136">
        <v>352961.39421319473</v>
      </c>
    </row>
    <row r="137" spans="14:15" x14ac:dyDescent="0.35">
      <c r="N137">
        <v>136</v>
      </c>
      <c r="O137">
        <v>360209.8988268234</v>
      </c>
    </row>
    <row r="138" spans="14:15" x14ac:dyDescent="0.35">
      <c r="N138">
        <v>137</v>
      </c>
      <c r="O138">
        <v>368544.13521711127</v>
      </c>
    </row>
    <row r="139" spans="14:15" x14ac:dyDescent="0.35">
      <c r="N139">
        <v>138</v>
      </c>
      <c r="O139">
        <v>357691.41961692297</v>
      </c>
    </row>
    <row r="140" spans="14:15" x14ac:dyDescent="0.35">
      <c r="N140">
        <v>139</v>
      </c>
      <c r="O140">
        <v>345739.9675055382</v>
      </c>
    </row>
    <row r="141" spans="14:15" x14ac:dyDescent="0.35">
      <c r="N141">
        <v>140</v>
      </c>
      <c r="O141">
        <v>359559.12412321719</v>
      </c>
    </row>
    <row r="142" spans="14:15" x14ac:dyDescent="0.35">
      <c r="N142">
        <v>141</v>
      </c>
      <c r="O142">
        <v>353199.5447540686</v>
      </c>
    </row>
    <row r="143" spans="14:15" x14ac:dyDescent="0.35">
      <c r="N143">
        <v>142</v>
      </c>
      <c r="O143">
        <v>360404.41196916642</v>
      </c>
    </row>
    <row r="144" spans="14:15" x14ac:dyDescent="0.35">
      <c r="N144">
        <v>143</v>
      </c>
      <c r="O144">
        <v>369055.29597869323</v>
      </c>
    </row>
    <row r="145" spans="14:15" x14ac:dyDescent="0.35">
      <c r="N145">
        <v>144</v>
      </c>
      <c r="O145">
        <v>357404.48709517292</v>
      </c>
    </row>
    <row r="146" spans="14:15" x14ac:dyDescent="0.35">
      <c r="N146">
        <v>145</v>
      </c>
      <c r="O146">
        <v>354492.89687952324</v>
      </c>
    </row>
    <row r="147" spans="14:15" x14ac:dyDescent="0.35">
      <c r="N147">
        <v>146</v>
      </c>
      <c r="O147">
        <v>360827.9748699232</v>
      </c>
    </row>
    <row r="148" spans="14:15" x14ac:dyDescent="0.35">
      <c r="N148">
        <v>147</v>
      </c>
      <c r="O148">
        <v>362389.586378104</v>
      </c>
    </row>
    <row r="149" spans="14:15" x14ac:dyDescent="0.35">
      <c r="N149">
        <v>148</v>
      </c>
      <c r="O149">
        <v>358750.32082214032</v>
      </c>
    </row>
    <row r="150" spans="14:15" x14ac:dyDescent="0.35">
      <c r="N150">
        <v>149</v>
      </c>
      <c r="O150">
        <v>343279.14054856962</v>
      </c>
    </row>
    <row r="151" spans="14:15" x14ac:dyDescent="0.35">
      <c r="N151">
        <v>150</v>
      </c>
      <c r="O151">
        <v>358365.12822430482</v>
      </c>
    </row>
    <row r="152" spans="14:15" x14ac:dyDescent="0.35">
      <c r="N152">
        <v>151</v>
      </c>
      <c r="O152">
        <v>355601.48514094524</v>
      </c>
    </row>
    <row r="153" spans="14:15" x14ac:dyDescent="0.35">
      <c r="N153">
        <v>152</v>
      </c>
      <c r="O153">
        <v>359280.66820676997</v>
      </c>
    </row>
    <row r="154" spans="14:15" x14ac:dyDescent="0.35">
      <c r="N154">
        <v>153</v>
      </c>
      <c r="O154">
        <v>364168.07825693616</v>
      </c>
    </row>
    <row r="155" spans="14:15" x14ac:dyDescent="0.35">
      <c r="N155">
        <v>154</v>
      </c>
      <c r="O155">
        <v>365778.09700226499</v>
      </c>
    </row>
    <row r="156" spans="14:15" x14ac:dyDescent="0.35">
      <c r="N156">
        <v>155</v>
      </c>
      <c r="O156">
        <v>361244.2063503862</v>
      </c>
    </row>
    <row r="157" spans="14:15" x14ac:dyDescent="0.35">
      <c r="N157">
        <v>156</v>
      </c>
      <c r="O157">
        <v>354054.56808433257</v>
      </c>
    </row>
    <row r="158" spans="14:15" x14ac:dyDescent="0.35">
      <c r="N158">
        <v>157</v>
      </c>
      <c r="O158">
        <v>357449.1257446403</v>
      </c>
    </row>
    <row r="159" spans="14:15" x14ac:dyDescent="0.35">
      <c r="N159">
        <v>158</v>
      </c>
      <c r="O159">
        <v>363239.98990143213</v>
      </c>
    </row>
    <row r="160" spans="14:15" x14ac:dyDescent="0.35">
      <c r="N160">
        <v>159</v>
      </c>
      <c r="O160">
        <v>345765.04892630869</v>
      </c>
    </row>
    <row r="161" spans="14:15" x14ac:dyDescent="0.35">
      <c r="N161">
        <v>160</v>
      </c>
      <c r="O161">
        <v>365849.83442986815</v>
      </c>
    </row>
    <row r="162" spans="14:15" x14ac:dyDescent="0.35">
      <c r="N162">
        <v>161</v>
      </c>
      <c r="O162">
        <v>360448.1141050384</v>
      </c>
    </row>
    <row r="163" spans="14:15" x14ac:dyDescent="0.35">
      <c r="N163">
        <v>162</v>
      </c>
      <c r="O163">
        <v>364906.21704704629</v>
      </c>
    </row>
    <row r="164" spans="14:15" x14ac:dyDescent="0.35">
      <c r="N164">
        <v>163</v>
      </c>
      <c r="O164">
        <v>364100.91701113753</v>
      </c>
    </row>
    <row r="165" spans="14:15" x14ac:dyDescent="0.35">
      <c r="N165">
        <v>164</v>
      </c>
      <c r="O165">
        <v>371032.93577935442</v>
      </c>
    </row>
    <row r="166" spans="14:15" x14ac:dyDescent="0.35">
      <c r="N166">
        <v>165</v>
      </c>
      <c r="O166">
        <v>359768.91354196507</v>
      </c>
    </row>
    <row r="167" spans="14:15" x14ac:dyDescent="0.35">
      <c r="N167">
        <v>166</v>
      </c>
      <c r="O167">
        <v>358645.19646251644</v>
      </c>
    </row>
    <row r="168" spans="14:15" x14ac:dyDescent="0.35">
      <c r="N168">
        <v>167</v>
      </c>
      <c r="O168">
        <v>354328.34111530759</v>
      </c>
    </row>
    <row r="169" spans="14:15" x14ac:dyDescent="0.35">
      <c r="N169">
        <v>168</v>
      </c>
      <c r="O169">
        <v>365149.29006441653</v>
      </c>
    </row>
    <row r="170" spans="14:15" x14ac:dyDescent="0.35">
      <c r="N170">
        <v>169</v>
      </c>
      <c r="O170">
        <v>357681.04590290913</v>
      </c>
    </row>
    <row r="171" spans="14:15" x14ac:dyDescent="0.35">
      <c r="N171">
        <v>170</v>
      </c>
      <c r="O171">
        <v>351649.9965424909</v>
      </c>
    </row>
    <row r="172" spans="14:15" x14ac:dyDescent="0.35">
      <c r="N172">
        <v>171</v>
      </c>
      <c r="O172">
        <v>365058.81394614966</v>
      </c>
    </row>
    <row r="173" spans="14:15" x14ac:dyDescent="0.35">
      <c r="N173">
        <v>172</v>
      </c>
      <c r="O173">
        <v>369640.11507186375</v>
      </c>
    </row>
    <row r="174" spans="14:15" x14ac:dyDescent="0.35">
      <c r="N174">
        <v>173</v>
      </c>
      <c r="O174">
        <v>360914.2140900658</v>
      </c>
    </row>
    <row r="175" spans="14:15" x14ac:dyDescent="0.35">
      <c r="N175">
        <v>174</v>
      </c>
      <c r="O175">
        <v>357469.39727568475</v>
      </c>
    </row>
    <row r="176" spans="14:15" x14ac:dyDescent="0.35">
      <c r="N176">
        <v>175</v>
      </c>
      <c r="O176">
        <v>367432.87456823676</v>
      </c>
    </row>
    <row r="177" spans="14:15" x14ac:dyDescent="0.35">
      <c r="N177">
        <v>176</v>
      </c>
      <c r="O177">
        <v>371942.89189900202</v>
      </c>
    </row>
    <row r="178" spans="14:15" x14ac:dyDescent="0.35">
      <c r="N178">
        <v>177</v>
      </c>
      <c r="O178">
        <v>355273.41357042349</v>
      </c>
    </row>
    <row r="179" spans="14:15" x14ac:dyDescent="0.35">
      <c r="N179">
        <v>178</v>
      </c>
      <c r="O179">
        <v>355418.16935218219</v>
      </c>
    </row>
    <row r="180" spans="14:15" x14ac:dyDescent="0.35">
      <c r="N180">
        <v>179</v>
      </c>
      <c r="O180">
        <v>350240.44716874231</v>
      </c>
    </row>
    <row r="181" spans="14:15" x14ac:dyDescent="0.35">
      <c r="N181">
        <v>180</v>
      </c>
      <c r="O181">
        <v>363180.43969585164</v>
      </c>
    </row>
    <row r="182" spans="14:15" x14ac:dyDescent="0.35">
      <c r="N182">
        <v>181</v>
      </c>
      <c r="O182">
        <v>364377.43390025233</v>
      </c>
    </row>
    <row r="183" spans="14:15" x14ac:dyDescent="0.35">
      <c r="N183">
        <v>182</v>
      </c>
      <c r="O183">
        <v>354429.76407162333</v>
      </c>
    </row>
    <row r="184" spans="14:15" x14ac:dyDescent="0.35">
      <c r="N184">
        <v>183</v>
      </c>
      <c r="O184">
        <v>356847.66519648011</v>
      </c>
    </row>
    <row r="185" spans="14:15" x14ac:dyDescent="0.35">
      <c r="N185">
        <v>184</v>
      </c>
      <c r="O185">
        <v>344772.94929276616</v>
      </c>
    </row>
    <row r="186" spans="14:15" x14ac:dyDescent="0.35">
      <c r="N186">
        <v>185</v>
      </c>
      <c r="O186">
        <v>371942.17910341441</v>
      </c>
    </row>
    <row r="187" spans="14:15" x14ac:dyDescent="0.35">
      <c r="N187">
        <v>186</v>
      </c>
      <c r="O187">
        <v>371167.57563274767</v>
      </c>
    </row>
    <row r="188" spans="14:15" x14ac:dyDescent="0.35">
      <c r="N188">
        <v>187</v>
      </c>
      <c r="O188">
        <v>360890.12783720758</v>
      </c>
    </row>
    <row r="189" spans="14:15" x14ac:dyDescent="0.35">
      <c r="N189">
        <v>188</v>
      </c>
      <c r="O189">
        <v>366043.03479300987</v>
      </c>
    </row>
    <row r="190" spans="14:15" x14ac:dyDescent="0.35">
      <c r="N190">
        <v>189</v>
      </c>
      <c r="O190">
        <v>365822.33258726023</v>
      </c>
    </row>
    <row r="191" spans="14:15" x14ac:dyDescent="0.35">
      <c r="N191">
        <v>190</v>
      </c>
      <c r="O191">
        <v>370354.35393058002</v>
      </c>
    </row>
    <row r="192" spans="14:15" x14ac:dyDescent="0.35">
      <c r="N192">
        <v>191</v>
      </c>
      <c r="O192">
        <v>371446.18837500125</v>
      </c>
    </row>
    <row r="193" spans="14:15" x14ac:dyDescent="0.35">
      <c r="N193">
        <v>192</v>
      </c>
      <c r="O193">
        <v>372665.42525568331</v>
      </c>
    </row>
    <row r="194" spans="14:15" x14ac:dyDescent="0.35">
      <c r="N194">
        <v>193</v>
      </c>
      <c r="O194">
        <v>354842.45190075121</v>
      </c>
    </row>
    <row r="195" spans="14:15" x14ac:dyDescent="0.35">
      <c r="N195">
        <v>194</v>
      </c>
      <c r="O195">
        <v>348548.43046528753</v>
      </c>
    </row>
    <row r="196" spans="14:15" x14ac:dyDescent="0.35">
      <c r="N196">
        <v>195</v>
      </c>
      <c r="O196">
        <v>344282.0559215137</v>
      </c>
    </row>
    <row r="197" spans="14:15" x14ac:dyDescent="0.35">
      <c r="N197">
        <v>196</v>
      </c>
      <c r="O197">
        <v>372029.51026864396</v>
      </c>
    </row>
    <row r="198" spans="14:15" x14ac:dyDescent="0.35">
      <c r="N198">
        <v>197</v>
      </c>
      <c r="O198">
        <v>366541.94677460979</v>
      </c>
    </row>
    <row r="199" spans="14:15" x14ac:dyDescent="0.35">
      <c r="N199">
        <v>198</v>
      </c>
      <c r="O199">
        <v>361062.43530426233</v>
      </c>
    </row>
    <row r="200" spans="14:15" x14ac:dyDescent="0.35">
      <c r="N200">
        <v>199</v>
      </c>
      <c r="O200">
        <v>349021.60997142876</v>
      </c>
    </row>
    <row r="201" spans="14:15" x14ac:dyDescent="0.35">
      <c r="N201">
        <v>200</v>
      </c>
      <c r="O201">
        <v>353762.55744153971</v>
      </c>
    </row>
    <row r="202" spans="14:15" x14ac:dyDescent="0.35">
      <c r="N202">
        <v>201</v>
      </c>
      <c r="O202">
        <v>351639.66171261267</v>
      </c>
    </row>
    <row r="203" spans="14:15" x14ac:dyDescent="0.35">
      <c r="N203">
        <v>202</v>
      </c>
      <c r="O203">
        <v>354848.95031787938</v>
      </c>
    </row>
    <row r="204" spans="14:15" x14ac:dyDescent="0.35">
      <c r="N204">
        <v>203</v>
      </c>
      <c r="O204">
        <v>360636.85100222524</v>
      </c>
    </row>
    <row r="205" spans="14:15" x14ac:dyDescent="0.35">
      <c r="N205">
        <v>204</v>
      </c>
      <c r="O205">
        <v>352728.83125767711</v>
      </c>
    </row>
    <row r="206" spans="14:15" x14ac:dyDescent="0.35">
      <c r="N206">
        <v>205</v>
      </c>
      <c r="O206">
        <v>363672.58619961212</v>
      </c>
    </row>
    <row r="207" spans="14:15" x14ac:dyDescent="0.35">
      <c r="N207">
        <v>206</v>
      </c>
      <c r="O207">
        <v>371929.87042609538</v>
      </c>
    </row>
    <row r="208" spans="14:15" x14ac:dyDescent="0.35">
      <c r="N208">
        <v>207</v>
      </c>
      <c r="O208">
        <v>365450.92876672099</v>
      </c>
    </row>
    <row r="209" spans="14:15" x14ac:dyDescent="0.35">
      <c r="N209">
        <v>208</v>
      </c>
      <c r="O209">
        <v>361004.85832018463</v>
      </c>
    </row>
    <row r="210" spans="14:15" x14ac:dyDescent="0.35">
      <c r="N210">
        <v>209</v>
      </c>
      <c r="O210">
        <v>367018.43649460457</v>
      </c>
    </row>
    <row r="211" spans="14:15" x14ac:dyDescent="0.35">
      <c r="N211">
        <v>210</v>
      </c>
      <c r="O211">
        <v>355286.72712540039</v>
      </c>
    </row>
    <row r="212" spans="14:15" x14ac:dyDescent="0.35">
      <c r="N212">
        <v>211</v>
      </c>
      <c r="O212">
        <v>363156.98119318043</v>
      </c>
    </row>
    <row r="213" spans="14:15" x14ac:dyDescent="0.35">
      <c r="N213">
        <v>212</v>
      </c>
      <c r="O213">
        <v>357145.26639661047</v>
      </c>
    </row>
    <row r="214" spans="14:15" x14ac:dyDescent="0.35">
      <c r="N214">
        <v>213</v>
      </c>
      <c r="O214">
        <v>363562.70382917399</v>
      </c>
    </row>
    <row r="215" spans="14:15" x14ac:dyDescent="0.35">
      <c r="N215">
        <v>214</v>
      </c>
      <c r="O215">
        <v>374758.68616090494</v>
      </c>
    </row>
    <row r="216" spans="14:15" x14ac:dyDescent="0.35">
      <c r="N216">
        <v>215</v>
      </c>
      <c r="O216">
        <v>355795.79798448778</v>
      </c>
    </row>
    <row r="217" spans="14:15" x14ac:dyDescent="0.35">
      <c r="N217">
        <v>216</v>
      </c>
      <c r="O217">
        <v>351167.23422338662</v>
      </c>
    </row>
    <row r="218" spans="14:15" x14ac:dyDescent="0.35">
      <c r="N218">
        <v>217</v>
      </c>
      <c r="O218">
        <v>360174.10002048651</v>
      </c>
    </row>
    <row r="219" spans="14:15" x14ac:dyDescent="0.35">
      <c r="N219">
        <v>218</v>
      </c>
      <c r="O219">
        <v>357800.32263272541</v>
      </c>
    </row>
    <row r="220" spans="14:15" x14ac:dyDescent="0.35">
      <c r="N220">
        <v>219</v>
      </c>
      <c r="O220">
        <v>356690.60278814496</v>
      </c>
    </row>
    <row r="221" spans="14:15" x14ac:dyDescent="0.35">
      <c r="N221">
        <v>220</v>
      </c>
      <c r="O221">
        <v>359096.70694815542</v>
      </c>
    </row>
    <row r="222" spans="14:15" x14ac:dyDescent="0.35">
      <c r="N222">
        <v>221</v>
      </c>
      <c r="O222">
        <v>362614.07963434665</v>
      </c>
    </row>
    <row r="223" spans="14:15" x14ac:dyDescent="0.35">
      <c r="N223">
        <v>222</v>
      </c>
      <c r="O223">
        <v>363988.5708352353</v>
      </c>
    </row>
    <row r="224" spans="14:15" x14ac:dyDescent="0.35">
      <c r="N224">
        <v>223</v>
      </c>
      <c r="O224">
        <v>363748.88237997971</v>
      </c>
    </row>
    <row r="225" spans="14:15" x14ac:dyDescent="0.35">
      <c r="N225">
        <v>224</v>
      </c>
      <c r="O225">
        <v>367232.24536728865</v>
      </c>
    </row>
    <row r="226" spans="14:15" x14ac:dyDescent="0.35">
      <c r="N226">
        <v>225</v>
      </c>
      <c r="O226">
        <v>368634.65617332555</v>
      </c>
    </row>
    <row r="227" spans="14:15" x14ac:dyDescent="0.35">
      <c r="N227">
        <v>226</v>
      </c>
      <c r="O227">
        <v>360268.92929636233</v>
      </c>
    </row>
    <row r="228" spans="14:15" x14ac:dyDescent="0.35">
      <c r="N228">
        <v>227</v>
      </c>
      <c r="O228">
        <v>359684.39364409866</v>
      </c>
    </row>
    <row r="229" spans="14:15" x14ac:dyDescent="0.35">
      <c r="N229">
        <v>228</v>
      </c>
      <c r="O229">
        <v>360568.35033623537</v>
      </c>
    </row>
    <row r="230" spans="14:15" x14ac:dyDescent="0.35">
      <c r="N230">
        <v>229</v>
      </c>
      <c r="O230">
        <v>370050.35764245049</v>
      </c>
    </row>
    <row r="231" spans="14:15" x14ac:dyDescent="0.35">
      <c r="N231">
        <v>230</v>
      </c>
      <c r="O231">
        <v>358955.51478446106</v>
      </c>
    </row>
    <row r="232" spans="14:15" x14ac:dyDescent="0.35">
      <c r="N232">
        <v>231</v>
      </c>
      <c r="O232">
        <v>350319.74287739507</v>
      </c>
    </row>
    <row r="233" spans="14:15" x14ac:dyDescent="0.35">
      <c r="N233">
        <v>232</v>
      </c>
      <c r="O233">
        <v>365230.51322431123</v>
      </c>
    </row>
    <row r="234" spans="14:15" x14ac:dyDescent="0.35">
      <c r="N234">
        <v>233</v>
      </c>
      <c r="O234">
        <v>365553.39734253642</v>
      </c>
    </row>
    <row r="235" spans="14:15" x14ac:dyDescent="0.35">
      <c r="N235">
        <v>234</v>
      </c>
      <c r="O235">
        <v>373500.80564093881</v>
      </c>
    </row>
    <row r="236" spans="14:15" x14ac:dyDescent="0.35">
      <c r="N236">
        <v>235</v>
      </c>
      <c r="O236">
        <v>355341.18932345539</v>
      </c>
    </row>
    <row r="237" spans="14:15" x14ac:dyDescent="0.35">
      <c r="N237">
        <v>236</v>
      </c>
      <c r="O237">
        <v>367934.420988167</v>
      </c>
    </row>
    <row r="238" spans="14:15" x14ac:dyDescent="0.35">
      <c r="N238">
        <v>237</v>
      </c>
      <c r="O238">
        <v>356731.6589414879</v>
      </c>
    </row>
    <row r="239" spans="14:15" x14ac:dyDescent="0.35">
      <c r="N239">
        <v>238</v>
      </c>
      <c r="O239">
        <v>359566.97319405392</v>
      </c>
    </row>
    <row r="240" spans="14:15" x14ac:dyDescent="0.35">
      <c r="N240">
        <v>239</v>
      </c>
      <c r="O240">
        <v>367454.46566381026</v>
      </c>
    </row>
    <row r="241" spans="14:15" x14ac:dyDescent="0.35">
      <c r="N241">
        <v>240</v>
      </c>
      <c r="O241">
        <v>356751.03624515474</v>
      </c>
    </row>
    <row r="242" spans="14:15" x14ac:dyDescent="0.35">
      <c r="N242">
        <v>241</v>
      </c>
      <c r="O242">
        <v>358900.23295700725</v>
      </c>
    </row>
    <row r="243" spans="14:15" x14ac:dyDescent="0.35">
      <c r="N243">
        <v>242</v>
      </c>
      <c r="O243">
        <v>378972.99884175032</v>
      </c>
    </row>
    <row r="244" spans="14:15" x14ac:dyDescent="0.35">
      <c r="N244">
        <v>243</v>
      </c>
      <c r="O244">
        <v>362198.20333576057</v>
      </c>
    </row>
    <row r="245" spans="14:15" x14ac:dyDescent="0.35">
      <c r="N245">
        <v>244</v>
      </c>
      <c r="O245">
        <v>360295.1203426526</v>
      </c>
    </row>
    <row r="246" spans="14:15" x14ac:dyDescent="0.35">
      <c r="N246">
        <v>245</v>
      </c>
      <c r="O246">
        <v>349161.22963729798</v>
      </c>
    </row>
    <row r="247" spans="14:15" x14ac:dyDescent="0.35">
      <c r="N247">
        <v>246</v>
      </c>
      <c r="O247">
        <v>353998.59958366648</v>
      </c>
    </row>
    <row r="248" spans="14:15" x14ac:dyDescent="0.35">
      <c r="N248">
        <v>247</v>
      </c>
      <c r="O248">
        <v>355843.56078443374</v>
      </c>
    </row>
    <row r="249" spans="14:15" x14ac:dyDescent="0.35">
      <c r="N249">
        <v>248</v>
      </c>
      <c r="O249">
        <v>365080.32719238376</v>
      </c>
    </row>
    <row r="250" spans="14:15" x14ac:dyDescent="0.35">
      <c r="N250">
        <v>249</v>
      </c>
      <c r="O250">
        <v>362406.90875395812</v>
      </c>
    </row>
    <row r="251" spans="14:15" x14ac:dyDescent="0.35">
      <c r="N251">
        <v>250</v>
      </c>
      <c r="O251">
        <v>347379.26072923571</v>
      </c>
    </row>
    <row r="252" spans="14:15" x14ac:dyDescent="0.35">
      <c r="N252">
        <v>251</v>
      </c>
      <c r="O252">
        <v>347470.24308604107</v>
      </c>
    </row>
    <row r="253" spans="14:15" x14ac:dyDescent="0.35">
      <c r="N253">
        <v>252</v>
      </c>
      <c r="O253">
        <v>355652.46051349916</v>
      </c>
    </row>
    <row r="254" spans="14:15" x14ac:dyDescent="0.35">
      <c r="N254">
        <v>253</v>
      </c>
      <c r="O254">
        <v>370004.5502566896</v>
      </c>
    </row>
    <row r="255" spans="14:15" x14ac:dyDescent="0.35">
      <c r="N255">
        <v>254</v>
      </c>
      <c r="O255">
        <v>356541.76890036307</v>
      </c>
    </row>
    <row r="256" spans="14:15" x14ac:dyDescent="0.35">
      <c r="N256">
        <v>255</v>
      </c>
      <c r="O256">
        <v>362162.26788684662</v>
      </c>
    </row>
    <row r="257" spans="14:15" x14ac:dyDescent="0.35">
      <c r="N257">
        <v>256</v>
      </c>
      <c r="O257">
        <v>355960.24091443507</v>
      </c>
    </row>
    <row r="258" spans="14:15" x14ac:dyDescent="0.35">
      <c r="N258">
        <v>257</v>
      </c>
      <c r="O258">
        <v>361263.26546235324</v>
      </c>
    </row>
    <row r="259" spans="14:15" x14ac:dyDescent="0.35">
      <c r="N259">
        <v>258</v>
      </c>
      <c r="O259">
        <v>370935.04792615463</v>
      </c>
    </row>
    <row r="260" spans="14:15" x14ac:dyDescent="0.35">
      <c r="N260">
        <v>259</v>
      </c>
      <c r="O260">
        <v>355289.90836170758</v>
      </c>
    </row>
    <row r="261" spans="14:15" x14ac:dyDescent="0.35">
      <c r="N261">
        <v>260</v>
      </c>
      <c r="O261">
        <v>374683.60007293429</v>
      </c>
    </row>
    <row r="262" spans="14:15" x14ac:dyDescent="0.35">
      <c r="N262">
        <v>261</v>
      </c>
      <c r="O262">
        <v>359073.76698249771</v>
      </c>
    </row>
    <row r="263" spans="14:15" x14ac:dyDescent="0.35">
      <c r="N263">
        <v>262</v>
      </c>
      <c r="O263">
        <v>360694.30125060154</v>
      </c>
    </row>
    <row r="264" spans="14:15" x14ac:dyDescent="0.35">
      <c r="N264">
        <v>263</v>
      </c>
      <c r="O264">
        <v>353412.75057397666</v>
      </c>
    </row>
    <row r="265" spans="14:15" x14ac:dyDescent="0.35">
      <c r="N265">
        <v>264</v>
      </c>
      <c r="O265">
        <v>355357.78650850058</v>
      </c>
    </row>
    <row r="266" spans="14:15" x14ac:dyDescent="0.35">
      <c r="N266">
        <v>265</v>
      </c>
      <c r="O266">
        <v>364987.43255929003</v>
      </c>
    </row>
    <row r="267" spans="14:15" x14ac:dyDescent="0.35">
      <c r="N267">
        <v>266</v>
      </c>
      <c r="O267">
        <v>347232.47673798521</v>
      </c>
    </row>
    <row r="268" spans="14:15" x14ac:dyDescent="0.35">
      <c r="N268">
        <v>267</v>
      </c>
      <c r="O268">
        <v>363032.44303616742</v>
      </c>
    </row>
    <row r="269" spans="14:15" x14ac:dyDescent="0.35">
      <c r="N269">
        <v>268</v>
      </c>
      <c r="O269">
        <v>359753.27853285882</v>
      </c>
    </row>
    <row r="270" spans="14:15" x14ac:dyDescent="0.35">
      <c r="N270">
        <v>269</v>
      </c>
      <c r="O270">
        <v>360990.9541616707</v>
      </c>
    </row>
    <row r="271" spans="14:15" x14ac:dyDescent="0.35">
      <c r="N271">
        <v>270</v>
      </c>
      <c r="O271">
        <v>366195.12236933736</v>
      </c>
    </row>
    <row r="272" spans="14:15" x14ac:dyDescent="0.35">
      <c r="N272">
        <v>271</v>
      </c>
      <c r="O272">
        <v>354586.9228483297</v>
      </c>
    </row>
    <row r="273" spans="14:15" x14ac:dyDescent="0.35">
      <c r="N273">
        <v>272</v>
      </c>
      <c r="O273">
        <v>364760.58534837997</v>
      </c>
    </row>
    <row r="274" spans="14:15" x14ac:dyDescent="0.35">
      <c r="N274">
        <v>273</v>
      </c>
      <c r="O274">
        <v>352273.52518914989</v>
      </c>
    </row>
    <row r="275" spans="14:15" x14ac:dyDescent="0.35">
      <c r="N275">
        <v>274</v>
      </c>
      <c r="O275">
        <v>374784.61125361308</v>
      </c>
    </row>
    <row r="276" spans="14:15" x14ac:dyDescent="0.35">
      <c r="N276">
        <v>275</v>
      </c>
      <c r="O276">
        <v>346065.7834424834</v>
      </c>
    </row>
    <row r="277" spans="14:15" x14ac:dyDescent="0.35">
      <c r="N277">
        <v>276</v>
      </c>
      <c r="O277">
        <v>350703.54152206198</v>
      </c>
    </row>
    <row r="278" spans="14:15" x14ac:dyDescent="0.35">
      <c r="N278">
        <v>277</v>
      </c>
      <c r="O278">
        <v>370168.97823143477</v>
      </c>
    </row>
    <row r="279" spans="14:15" x14ac:dyDescent="0.35">
      <c r="N279">
        <v>278</v>
      </c>
      <c r="O279">
        <v>366782.69509151968</v>
      </c>
    </row>
    <row r="280" spans="14:15" x14ac:dyDescent="0.35">
      <c r="N280">
        <v>279</v>
      </c>
      <c r="O280">
        <v>364127.90516412735</v>
      </c>
    </row>
    <row r="281" spans="14:15" x14ac:dyDescent="0.35">
      <c r="N281">
        <v>280</v>
      </c>
      <c r="O281">
        <v>349266.44724826427</v>
      </c>
    </row>
    <row r="282" spans="14:15" x14ac:dyDescent="0.35">
      <c r="N282">
        <v>281</v>
      </c>
      <c r="O282">
        <v>364684.81448225991</v>
      </c>
    </row>
    <row r="283" spans="14:15" x14ac:dyDescent="0.35">
      <c r="N283">
        <v>282</v>
      </c>
      <c r="O283">
        <v>369633.5691490816</v>
      </c>
    </row>
    <row r="284" spans="14:15" x14ac:dyDescent="0.35">
      <c r="N284">
        <v>283</v>
      </c>
      <c r="O284">
        <v>351047.25656953413</v>
      </c>
    </row>
    <row r="285" spans="14:15" x14ac:dyDescent="0.35">
      <c r="N285">
        <v>284</v>
      </c>
      <c r="O285">
        <v>352342.29320405034</v>
      </c>
    </row>
    <row r="286" spans="14:15" x14ac:dyDescent="0.35">
      <c r="N286">
        <v>285</v>
      </c>
      <c r="O286">
        <v>367831.256146523</v>
      </c>
    </row>
    <row r="287" spans="14:15" x14ac:dyDescent="0.35">
      <c r="N287">
        <v>286</v>
      </c>
      <c r="O287">
        <v>354646.42222712812</v>
      </c>
    </row>
    <row r="288" spans="14:15" x14ac:dyDescent="0.35">
      <c r="N288">
        <v>287</v>
      </c>
      <c r="O288">
        <v>368459.39059651573</v>
      </c>
    </row>
    <row r="289" spans="14:15" x14ac:dyDescent="0.35">
      <c r="N289">
        <v>288</v>
      </c>
      <c r="O289">
        <v>355178.51136381237</v>
      </c>
    </row>
    <row r="290" spans="14:15" x14ac:dyDescent="0.35">
      <c r="N290">
        <v>289</v>
      </c>
      <c r="O290">
        <v>350007.99955425243</v>
      </c>
    </row>
    <row r="291" spans="14:15" x14ac:dyDescent="0.35">
      <c r="N291">
        <v>290</v>
      </c>
      <c r="O291">
        <v>364097.25170947483</v>
      </c>
    </row>
    <row r="292" spans="14:15" x14ac:dyDescent="0.35">
      <c r="N292">
        <v>291</v>
      </c>
      <c r="O292">
        <v>376270.06330577732</v>
      </c>
    </row>
    <row r="293" spans="14:15" x14ac:dyDescent="0.35">
      <c r="N293">
        <v>292</v>
      </c>
      <c r="O293">
        <v>366784.25667752128</v>
      </c>
    </row>
    <row r="294" spans="14:15" x14ac:dyDescent="0.35">
      <c r="N294">
        <v>293</v>
      </c>
      <c r="O294">
        <v>358717.96340955386</v>
      </c>
    </row>
    <row r="295" spans="14:15" x14ac:dyDescent="0.35">
      <c r="N295">
        <v>294</v>
      </c>
      <c r="O295">
        <v>360816.7188261319</v>
      </c>
    </row>
    <row r="296" spans="14:15" x14ac:dyDescent="0.35">
      <c r="N296">
        <v>295</v>
      </c>
      <c r="O296">
        <v>358320.47277772595</v>
      </c>
    </row>
    <row r="297" spans="14:15" x14ac:dyDescent="0.35">
      <c r="N297">
        <v>296</v>
      </c>
      <c r="O297">
        <v>371260.79837257712</v>
      </c>
    </row>
    <row r="298" spans="14:15" x14ac:dyDescent="0.35">
      <c r="N298">
        <v>297</v>
      </c>
      <c r="O298">
        <v>367688.82925579965</v>
      </c>
    </row>
    <row r="299" spans="14:15" x14ac:dyDescent="0.35">
      <c r="N299">
        <v>298</v>
      </c>
      <c r="O299">
        <v>370574.1517510307</v>
      </c>
    </row>
    <row r="300" spans="14:15" x14ac:dyDescent="0.35">
      <c r="N300">
        <v>299</v>
      </c>
      <c r="O300">
        <v>360567.85160871188</v>
      </c>
    </row>
    <row r="301" spans="14:15" x14ac:dyDescent="0.35">
      <c r="N301">
        <v>300</v>
      </c>
      <c r="O301">
        <v>369187.55854216957</v>
      </c>
    </row>
    <row r="302" spans="14:15" x14ac:dyDescent="0.35">
      <c r="N302">
        <v>301</v>
      </c>
      <c r="O302">
        <v>344403.11766860745</v>
      </c>
    </row>
    <row r="303" spans="14:15" x14ac:dyDescent="0.35">
      <c r="N303">
        <v>302</v>
      </c>
      <c r="O303">
        <v>352075.05349442584</v>
      </c>
    </row>
    <row r="304" spans="14:15" x14ac:dyDescent="0.35">
      <c r="N304">
        <v>303</v>
      </c>
      <c r="O304">
        <v>353367.5398813716</v>
      </c>
    </row>
    <row r="305" spans="14:15" x14ac:dyDescent="0.35">
      <c r="N305">
        <v>304</v>
      </c>
      <c r="O305">
        <v>367626.92943133716</v>
      </c>
    </row>
    <row r="306" spans="14:15" x14ac:dyDescent="0.35">
      <c r="N306">
        <v>305</v>
      </c>
      <c r="O306">
        <v>350422.50219362549</v>
      </c>
    </row>
    <row r="307" spans="14:15" x14ac:dyDescent="0.35">
      <c r="N307">
        <v>306</v>
      </c>
      <c r="O307">
        <v>371758.53333602491</v>
      </c>
    </row>
    <row r="308" spans="14:15" x14ac:dyDescent="0.35">
      <c r="N308">
        <v>307</v>
      </c>
      <c r="O308">
        <v>350922.22321594256</v>
      </c>
    </row>
    <row r="309" spans="14:15" x14ac:dyDescent="0.35">
      <c r="N309">
        <v>308</v>
      </c>
      <c r="O309">
        <v>346621.59024236933</v>
      </c>
    </row>
    <row r="310" spans="14:15" x14ac:dyDescent="0.35">
      <c r="N310">
        <v>309</v>
      </c>
      <c r="O310">
        <v>357929.71644449816</v>
      </c>
    </row>
    <row r="311" spans="14:15" x14ac:dyDescent="0.35">
      <c r="N311">
        <v>310</v>
      </c>
      <c r="O311">
        <v>355565.18252940773</v>
      </c>
    </row>
    <row r="312" spans="14:15" x14ac:dyDescent="0.35">
      <c r="N312">
        <v>311</v>
      </c>
      <c r="O312">
        <v>364708.23068746843</v>
      </c>
    </row>
    <row r="313" spans="14:15" x14ac:dyDescent="0.35">
      <c r="N313">
        <v>312</v>
      </c>
      <c r="O313">
        <v>370356.94060783822</v>
      </c>
    </row>
    <row r="314" spans="14:15" x14ac:dyDescent="0.35">
      <c r="N314">
        <v>313</v>
      </c>
      <c r="O314">
        <v>352044.92650589393</v>
      </c>
    </row>
    <row r="315" spans="14:15" x14ac:dyDescent="0.35">
      <c r="N315">
        <v>314</v>
      </c>
      <c r="O315">
        <v>357949.56656733435</v>
      </c>
    </row>
    <row r="316" spans="14:15" x14ac:dyDescent="0.35">
      <c r="N316">
        <v>315</v>
      </c>
      <c r="O316">
        <v>362832.95254694839</v>
      </c>
    </row>
    <row r="317" spans="14:15" x14ac:dyDescent="0.35">
      <c r="N317">
        <v>316</v>
      </c>
      <c r="O317">
        <v>365838.70954741183</v>
      </c>
    </row>
    <row r="318" spans="14:15" x14ac:dyDescent="0.35">
      <c r="N318">
        <v>317</v>
      </c>
      <c r="O318">
        <v>352640.37149009202</v>
      </c>
    </row>
    <row r="319" spans="14:15" x14ac:dyDescent="0.35">
      <c r="N319">
        <v>318</v>
      </c>
      <c r="O319">
        <v>367826.19690212904</v>
      </c>
    </row>
    <row r="320" spans="14:15" x14ac:dyDescent="0.35">
      <c r="N320">
        <v>319</v>
      </c>
      <c r="O320">
        <v>350161.35629987554</v>
      </c>
    </row>
    <row r="321" spans="14:15" x14ac:dyDescent="0.35">
      <c r="N321">
        <v>320</v>
      </c>
      <c r="O321">
        <v>373082.70134729112</v>
      </c>
    </row>
    <row r="322" spans="14:15" x14ac:dyDescent="0.35">
      <c r="N322">
        <v>321</v>
      </c>
      <c r="O322">
        <v>378765.86646161723</v>
      </c>
    </row>
    <row r="323" spans="14:15" x14ac:dyDescent="0.35">
      <c r="N323">
        <v>322</v>
      </c>
      <c r="O323">
        <v>373515.02307521505</v>
      </c>
    </row>
    <row r="324" spans="14:15" x14ac:dyDescent="0.35">
      <c r="N324">
        <v>323</v>
      </c>
      <c r="O324">
        <v>364610.38292146259</v>
      </c>
    </row>
    <row r="325" spans="14:15" x14ac:dyDescent="0.35">
      <c r="N325">
        <v>324</v>
      </c>
      <c r="O325">
        <v>355158.24216056458</v>
      </c>
    </row>
    <row r="326" spans="14:15" x14ac:dyDescent="0.35">
      <c r="N326">
        <v>325</v>
      </c>
      <c r="O326">
        <v>361955.40310496697</v>
      </c>
    </row>
    <row r="327" spans="14:15" x14ac:dyDescent="0.35">
      <c r="N327">
        <v>326</v>
      </c>
      <c r="O327">
        <v>358501.38024652709</v>
      </c>
    </row>
    <row r="328" spans="14:15" x14ac:dyDescent="0.35">
      <c r="N328">
        <v>327</v>
      </c>
      <c r="O328">
        <v>376502.85345004493</v>
      </c>
    </row>
    <row r="329" spans="14:15" x14ac:dyDescent="0.35">
      <c r="N329">
        <v>328</v>
      </c>
      <c r="O329">
        <v>368988.43020374898</v>
      </c>
    </row>
    <row r="330" spans="14:15" x14ac:dyDescent="0.35">
      <c r="N330">
        <v>329</v>
      </c>
      <c r="O330">
        <v>352429.3331906494</v>
      </c>
    </row>
    <row r="331" spans="14:15" x14ac:dyDescent="0.35">
      <c r="N331">
        <v>330</v>
      </c>
      <c r="O331">
        <v>361442.38715287164</v>
      </c>
    </row>
    <row r="332" spans="14:15" x14ac:dyDescent="0.35">
      <c r="N332">
        <v>331</v>
      </c>
      <c r="O332">
        <v>370140.69123924122</v>
      </c>
    </row>
    <row r="333" spans="14:15" x14ac:dyDescent="0.35">
      <c r="N333">
        <v>332</v>
      </c>
      <c r="O333">
        <v>363433.14476349921</v>
      </c>
    </row>
    <row r="334" spans="14:15" x14ac:dyDescent="0.35">
      <c r="N334">
        <v>333</v>
      </c>
      <c r="O334">
        <v>365296.26006130088</v>
      </c>
    </row>
    <row r="335" spans="14:15" x14ac:dyDescent="0.35">
      <c r="N335">
        <v>334</v>
      </c>
      <c r="O335">
        <v>380085.67550875538</v>
      </c>
    </row>
    <row r="336" spans="14:15" x14ac:dyDescent="0.35">
      <c r="N336">
        <v>335</v>
      </c>
      <c r="O336">
        <v>370194.15716200811</v>
      </c>
    </row>
    <row r="337" spans="14:15" x14ac:dyDescent="0.35">
      <c r="N337">
        <v>336</v>
      </c>
      <c r="O337">
        <v>350802.41921949195</v>
      </c>
    </row>
    <row r="338" spans="14:15" x14ac:dyDescent="0.35">
      <c r="N338">
        <v>337</v>
      </c>
      <c r="O338">
        <v>360643.77509280056</v>
      </c>
    </row>
    <row r="339" spans="14:15" x14ac:dyDescent="0.35">
      <c r="N339">
        <v>338</v>
      </c>
      <c r="O339">
        <v>361460.72749233164</v>
      </c>
    </row>
    <row r="340" spans="14:15" x14ac:dyDescent="0.35">
      <c r="N340">
        <v>339</v>
      </c>
      <c r="O340">
        <v>371921.27250525187</v>
      </c>
    </row>
    <row r="341" spans="14:15" x14ac:dyDescent="0.35">
      <c r="N341">
        <v>340</v>
      </c>
      <c r="O341">
        <v>360819.48101338279</v>
      </c>
    </row>
    <row r="342" spans="14:15" x14ac:dyDescent="0.35">
      <c r="N342">
        <v>341</v>
      </c>
      <c r="O342">
        <v>356622.05567083013</v>
      </c>
    </row>
    <row r="343" spans="14:15" x14ac:dyDescent="0.35">
      <c r="N343">
        <v>342</v>
      </c>
      <c r="O343">
        <v>368492.16901941446</v>
      </c>
    </row>
    <row r="344" spans="14:15" x14ac:dyDescent="0.35">
      <c r="N344">
        <v>343</v>
      </c>
      <c r="O344">
        <v>355627.20266270451</v>
      </c>
    </row>
    <row r="345" spans="14:15" x14ac:dyDescent="0.35">
      <c r="N345">
        <v>344</v>
      </c>
      <c r="O345">
        <v>370835.37090209522</v>
      </c>
    </row>
    <row r="346" spans="14:15" x14ac:dyDescent="0.35">
      <c r="N346">
        <v>345</v>
      </c>
      <c r="O346">
        <v>371950.04788994219</v>
      </c>
    </row>
    <row r="347" spans="14:15" x14ac:dyDescent="0.35">
      <c r="N347">
        <v>346</v>
      </c>
      <c r="O347">
        <v>364489.31977417739</v>
      </c>
    </row>
    <row r="348" spans="14:15" x14ac:dyDescent="0.35">
      <c r="N348">
        <v>347</v>
      </c>
      <c r="O348">
        <v>353171.72787584353</v>
      </c>
    </row>
    <row r="349" spans="14:15" x14ac:dyDescent="0.35">
      <c r="N349">
        <v>348</v>
      </c>
      <c r="O349">
        <v>354405.32093171327</v>
      </c>
    </row>
    <row r="350" spans="14:15" x14ac:dyDescent="0.35">
      <c r="N350">
        <v>349</v>
      </c>
      <c r="O350">
        <v>356540.2069770149</v>
      </c>
    </row>
    <row r="351" spans="14:15" x14ac:dyDescent="0.35">
      <c r="N351">
        <v>350</v>
      </c>
      <c r="O351">
        <v>364291.1179021906</v>
      </c>
    </row>
    <row r="352" spans="14:15" x14ac:dyDescent="0.35">
      <c r="N352">
        <v>351</v>
      </c>
      <c r="O352">
        <v>364425.92831132712</v>
      </c>
    </row>
    <row r="353" spans="14:15" x14ac:dyDescent="0.35">
      <c r="N353">
        <v>352</v>
      </c>
      <c r="O353">
        <v>379933.6290232985</v>
      </c>
    </row>
    <row r="354" spans="14:15" x14ac:dyDescent="0.35">
      <c r="N354">
        <v>353</v>
      </c>
      <c r="O354">
        <v>354589.53249429318</v>
      </c>
    </row>
    <row r="355" spans="14:15" x14ac:dyDescent="0.35">
      <c r="N355">
        <v>354</v>
      </c>
      <c r="O355">
        <v>362239.5455190728</v>
      </c>
    </row>
    <row r="356" spans="14:15" x14ac:dyDescent="0.35">
      <c r="N356">
        <v>355</v>
      </c>
      <c r="O356">
        <v>346012.91851034621</v>
      </c>
    </row>
    <row r="357" spans="14:15" x14ac:dyDescent="0.35">
      <c r="N357">
        <v>356</v>
      </c>
      <c r="O357">
        <v>371021.6548263423</v>
      </c>
    </row>
    <row r="358" spans="14:15" x14ac:dyDescent="0.35">
      <c r="N358">
        <v>357</v>
      </c>
      <c r="O358">
        <v>375612.89767262194</v>
      </c>
    </row>
    <row r="359" spans="14:15" x14ac:dyDescent="0.35">
      <c r="N359">
        <v>358</v>
      </c>
      <c r="O359">
        <v>364897.19742805348</v>
      </c>
    </row>
    <row r="360" spans="14:15" x14ac:dyDescent="0.35">
      <c r="N360">
        <v>359</v>
      </c>
      <c r="O360">
        <v>362722.50499832432</v>
      </c>
    </row>
    <row r="361" spans="14:15" x14ac:dyDescent="0.35">
      <c r="N361">
        <v>360</v>
      </c>
      <c r="O361">
        <v>351992.36867754604</v>
      </c>
    </row>
    <row r="362" spans="14:15" x14ac:dyDescent="0.35">
      <c r="N362">
        <v>361</v>
      </c>
      <c r="O362">
        <v>358642.09138873016</v>
      </c>
    </row>
    <row r="363" spans="14:15" x14ac:dyDescent="0.35">
      <c r="N363">
        <v>362</v>
      </c>
      <c r="O363">
        <v>352952.18433026521</v>
      </c>
    </row>
    <row r="364" spans="14:15" x14ac:dyDescent="0.35">
      <c r="N364">
        <v>363</v>
      </c>
      <c r="O364">
        <v>362433.50912360381</v>
      </c>
    </row>
    <row r="365" spans="14:15" x14ac:dyDescent="0.35">
      <c r="N365">
        <v>364</v>
      </c>
      <c r="O365">
        <v>369254.8155605857</v>
      </c>
    </row>
    <row r="366" spans="14:15" x14ac:dyDescent="0.35">
      <c r="N366">
        <v>365</v>
      </c>
      <c r="O366">
        <v>355126.25604878942</v>
      </c>
    </row>
    <row r="367" spans="14:15" x14ac:dyDescent="0.35">
      <c r="N367">
        <v>366</v>
      </c>
      <c r="O367">
        <v>362712.55343446089</v>
      </c>
    </row>
    <row r="368" spans="14:15" x14ac:dyDescent="0.35">
      <c r="N368">
        <v>367</v>
      </c>
      <c r="O368">
        <v>364374.91536718688</v>
      </c>
    </row>
    <row r="369" spans="14:15" x14ac:dyDescent="0.35">
      <c r="N369">
        <v>368</v>
      </c>
      <c r="O369">
        <v>351882.70943321701</v>
      </c>
    </row>
    <row r="370" spans="14:15" x14ac:dyDescent="0.35">
      <c r="N370">
        <v>369</v>
      </c>
      <c r="O370">
        <v>365132.92596896208</v>
      </c>
    </row>
    <row r="371" spans="14:15" x14ac:dyDescent="0.35">
      <c r="N371">
        <v>370</v>
      </c>
      <c r="O371">
        <v>356686.06284828467</v>
      </c>
    </row>
    <row r="372" spans="14:15" x14ac:dyDescent="0.35">
      <c r="N372">
        <v>371</v>
      </c>
      <c r="O372">
        <v>353882.65304745291</v>
      </c>
    </row>
    <row r="373" spans="14:15" x14ac:dyDescent="0.35">
      <c r="N373">
        <v>372</v>
      </c>
      <c r="O373">
        <v>359985.29154944152</v>
      </c>
    </row>
    <row r="374" spans="14:15" x14ac:dyDescent="0.35">
      <c r="N374">
        <v>373</v>
      </c>
      <c r="O374">
        <v>349366.02428038535</v>
      </c>
    </row>
    <row r="375" spans="14:15" x14ac:dyDescent="0.35">
      <c r="N375">
        <v>374</v>
      </c>
      <c r="O375">
        <v>371993.71545374853</v>
      </c>
    </row>
    <row r="376" spans="14:15" x14ac:dyDescent="0.35">
      <c r="N376">
        <v>375</v>
      </c>
      <c r="O376">
        <v>370805.89715205244</v>
      </c>
    </row>
    <row r="377" spans="14:15" x14ac:dyDescent="0.35">
      <c r="N377">
        <v>376</v>
      </c>
      <c r="O377">
        <v>351805.72133776965</v>
      </c>
    </row>
    <row r="378" spans="14:15" x14ac:dyDescent="0.35">
      <c r="N378">
        <v>377</v>
      </c>
      <c r="O378">
        <v>358239.70707386627</v>
      </c>
    </row>
    <row r="379" spans="14:15" x14ac:dyDescent="0.35">
      <c r="N379">
        <v>378</v>
      </c>
      <c r="O379">
        <v>364081.1966922693</v>
      </c>
    </row>
    <row r="380" spans="14:15" x14ac:dyDescent="0.35">
      <c r="N380">
        <v>379</v>
      </c>
      <c r="O380">
        <v>349140.55073866231</v>
      </c>
    </row>
    <row r="381" spans="14:15" x14ac:dyDescent="0.35">
      <c r="N381">
        <v>380</v>
      </c>
      <c r="O381">
        <v>367400.1775151795</v>
      </c>
    </row>
    <row r="382" spans="14:15" x14ac:dyDescent="0.35">
      <c r="N382">
        <v>381</v>
      </c>
      <c r="O382">
        <v>366437.74373702839</v>
      </c>
    </row>
    <row r="383" spans="14:15" x14ac:dyDescent="0.35">
      <c r="N383">
        <v>382</v>
      </c>
      <c r="O383">
        <v>350563.02180715062</v>
      </c>
    </row>
    <row r="384" spans="14:15" x14ac:dyDescent="0.35">
      <c r="N384">
        <v>383</v>
      </c>
      <c r="O384">
        <v>371137.64648858469</v>
      </c>
    </row>
    <row r="385" spans="14:15" x14ac:dyDescent="0.35">
      <c r="N385">
        <v>384</v>
      </c>
      <c r="O385">
        <v>353642.93190185499</v>
      </c>
    </row>
    <row r="386" spans="14:15" x14ac:dyDescent="0.35">
      <c r="N386">
        <v>385</v>
      </c>
      <c r="O386">
        <v>370362.03646500618</v>
      </c>
    </row>
    <row r="387" spans="14:15" x14ac:dyDescent="0.35">
      <c r="N387">
        <v>386</v>
      </c>
      <c r="O387">
        <v>366465.7270580692</v>
      </c>
    </row>
    <row r="388" spans="14:15" x14ac:dyDescent="0.35">
      <c r="N388">
        <v>387</v>
      </c>
      <c r="O388">
        <v>353830.85278086504</v>
      </c>
    </row>
    <row r="389" spans="14:15" x14ac:dyDescent="0.35">
      <c r="N389">
        <v>388</v>
      </c>
      <c r="O389">
        <v>369575.92689637491</v>
      </c>
    </row>
    <row r="390" spans="14:15" x14ac:dyDescent="0.35">
      <c r="N390">
        <v>389</v>
      </c>
      <c r="O390">
        <v>358872.20242905658</v>
      </c>
    </row>
    <row r="391" spans="14:15" x14ac:dyDescent="0.35">
      <c r="N391">
        <v>390</v>
      </c>
      <c r="O391">
        <v>364303.62709315796</v>
      </c>
    </row>
    <row r="392" spans="14:15" x14ac:dyDescent="0.35">
      <c r="N392">
        <v>391</v>
      </c>
      <c r="O392">
        <v>363866.48226864473</v>
      </c>
    </row>
    <row r="393" spans="14:15" x14ac:dyDescent="0.35">
      <c r="N393">
        <v>392</v>
      </c>
      <c r="O393">
        <v>360846.01951356564</v>
      </c>
    </row>
    <row r="394" spans="14:15" x14ac:dyDescent="0.35">
      <c r="N394">
        <v>393</v>
      </c>
      <c r="O394">
        <v>368749.64659882395</v>
      </c>
    </row>
    <row r="395" spans="14:15" x14ac:dyDescent="0.35">
      <c r="N395">
        <v>394</v>
      </c>
      <c r="O395">
        <v>371503.47120501002</v>
      </c>
    </row>
    <row r="396" spans="14:15" x14ac:dyDescent="0.35">
      <c r="N396">
        <v>395</v>
      </c>
      <c r="O396">
        <v>359242.53380797617</v>
      </c>
    </row>
    <row r="397" spans="14:15" x14ac:dyDescent="0.35">
      <c r="N397">
        <v>396</v>
      </c>
      <c r="O397">
        <v>368405.28218500229</v>
      </c>
    </row>
    <row r="398" spans="14:15" x14ac:dyDescent="0.35">
      <c r="N398">
        <v>397</v>
      </c>
      <c r="O398">
        <v>365131.83143237303</v>
      </c>
    </row>
    <row r="399" spans="14:15" x14ac:dyDescent="0.35">
      <c r="N399">
        <v>398</v>
      </c>
      <c r="O399">
        <v>358123.03060220781</v>
      </c>
    </row>
    <row r="400" spans="14:15" x14ac:dyDescent="0.35">
      <c r="N400">
        <v>399</v>
      </c>
      <c r="O400">
        <v>359237.27177497552</v>
      </c>
    </row>
    <row r="401" spans="14:15" x14ac:dyDescent="0.35">
      <c r="N401">
        <v>400</v>
      </c>
      <c r="O401">
        <v>358938.63006225741</v>
      </c>
    </row>
    <row r="402" spans="14:15" x14ac:dyDescent="0.35">
      <c r="N402">
        <v>401</v>
      </c>
      <c r="O402">
        <v>379492.42784890201</v>
      </c>
    </row>
    <row r="403" spans="14:15" x14ac:dyDescent="0.35">
      <c r="N403">
        <v>402</v>
      </c>
      <c r="O403">
        <v>360593.77784096426</v>
      </c>
    </row>
    <row r="404" spans="14:15" x14ac:dyDescent="0.35">
      <c r="N404">
        <v>403</v>
      </c>
      <c r="O404">
        <v>370190.54865892563</v>
      </c>
    </row>
    <row r="405" spans="14:15" x14ac:dyDescent="0.35">
      <c r="N405">
        <v>404</v>
      </c>
      <c r="O405">
        <v>365344.64740121312</v>
      </c>
    </row>
    <row r="406" spans="14:15" x14ac:dyDescent="0.35">
      <c r="N406">
        <v>405</v>
      </c>
      <c r="O406">
        <v>364664.91829709505</v>
      </c>
    </row>
    <row r="407" spans="14:15" x14ac:dyDescent="0.35">
      <c r="N407">
        <v>406</v>
      </c>
      <c r="O407">
        <v>366462.03432420979</v>
      </c>
    </row>
    <row r="408" spans="14:15" x14ac:dyDescent="0.35">
      <c r="N408">
        <v>407</v>
      </c>
      <c r="O408">
        <v>362195.32047515525</v>
      </c>
    </row>
    <row r="409" spans="14:15" x14ac:dyDescent="0.35">
      <c r="N409">
        <v>408</v>
      </c>
      <c r="O409">
        <v>348546.44745727035</v>
      </c>
    </row>
    <row r="410" spans="14:15" x14ac:dyDescent="0.35">
      <c r="N410">
        <v>409</v>
      </c>
      <c r="O410">
        <v>368356.53803137434</v>
      </c>
    </row>
    <row r="411" spans="14:15" x14ac:dyDescent="0.35">
      <c r="N411">
        <v>410</v>
      </c>
      <c r="O411">
        <v>343456.21315119148</v>
      </c>
    </row>
    <row r="412" spans="14:15" x14ac:dyDescent="0.35">
      <c r="N412">
        <v>411</v>
      </c>
      <c r="O412">
        <v>369951.97414039809</v>
      </c>
    </row>
    <row r="413" spans="14:15" x14ac:dyDescent="0.35">
      <c r="N413">
        <v>412</v>
      </c>
      <c r="O413">
        <v>368666.78959429002</v>
      </c>
    </row>
    <row r="414" spans="14:15" x14ac:dyDescent="0.35">
      <c r="N414">
        <v>413</v>
      </c>
      <c r="O414">
        <v>349880.9821663613</v>
      </c>
    </row>
    <row r="415" spans="14:15" x14ac:dyDescent="0.35">
      <c r="N415">
        <v>414</v>
      </c>
      <c r="O415">
        <v>353571.85770247207</v>
      </c>
    </row>
    <row r="416" spans="14:15" x14ac:dyDescent="0.35">
      <c r="N416">
        <v>415</v>
      </c>
      <c r="O416">
        <v>358021.95598661498</v>
      </c>
    </row>
    <row r="417" spans="14:15" x14ac:dyDescent="0.35">
      <c r="N417">
        <v>416</v>
      </c>
      <c r="O417">
        <v>356733.96743550408</v>
      </c>
    </row>
    <row r="418" spans="14:15" x14ac:dyDescent="0.35">
      <c r="N418">
        <v>417</v>
      </c>
      <c r="O418">
        <v>372584.63060420274</v>
      </c>
    </row>
    <row r="419" spans="14:15" x14ac:dyDescent="0.35">
      <c r="N419">
        <v>418</v>
      </c>
      <c r="O419">
        <v>357682.32416098454</v>
      </c>
    </row>
    <row r="420" spans="14:15" x14ac:dyDescent="0.35">
      <c r="N420">
        <v>419</v>
      </c>
      <c r="O420">
        <v>348660.63884236483</v>
      </c>
    </row>
    <row r="421" spans="14:15" x14ac:dyDescent="0.35">
      <c r="N421">
        <v>420</v>
      </c>
      <c r="O421">
        <v>357155.43580535997</v>
      </c>
    </row>
    <row r="422" spans="14:15" x14ac:dyDescent="0.35">
      <c r="N422">
        <v>421</v>
      </c>
      <c r="O422">
        <v>347046.74313594354</v>
      </c>
    </row>
    <row r="423" spans="14:15" x14ac:dyDescent="0.35">
      <c r="N423">
        <v>422</v>
      </c>
      <c r="O423">
        <v>346727.68115666218</v>
      </c>
    </row>
    <row r="424" spans="14:15" x14ac:dyDescent="0.35">
      <c r="N424">
        <v>423</v>
      </c>
      <c r="O424">
        <v>361046.56614870956</v>
      </c>
    </row>
    <row r="425" spans="14:15" x14ac:dyDescent="0.35">
      <c r="N425">
        <v>424</v>
      </c>
      <c r="O425">
        <v>356267.75726738299</v>
      </c>
    </row>
    <row r="426" spans="14:15" x14ac:dyDescent="0.35">
      <c r="N426">
        <v>425</v>
      </c>
      <c r="O426">
        <v>355707.44676846871</v>
      </c>
    </row>
    <row r="427" spans="14:15" x14ac:dyDescent="0.35">
      <c r="N427">
        <v>426</v>
      </c>
      <c r="O427">
        <v>363176.55695029034</v>
      </c>
    </row>
    <row r="428" spans="14:15" x14ac:dyDescent="0.35">
      <c r="N428">
        <v>427</v>
      </c>
      <c r="O428">
        <v>359138.53604919417</v>
      </c>
    </row>
    <row r="429" spans="14:15" x14ac:dyDescent="0.35">
      <c r="N429">
        <v>428</v>
      </c>
      <c r="O429">
        <v>369118.09498976008</v>
      </c>
    </row>
    <row r="430" spans="14:15" x14ac:dyDescent="0.35">
      <c r="N430">
        <v>429</v>
      </c>
      <c r="O430">
        <v>364191.43484588194</v>
      </c>
    </row>
    <row r="431" spans="14:15" x14ac:dyDescent="0.35">
      <c r="N431">
        <v>430</v>
      </c>
      <c r="O431">
        <v>366254.32334905869</v>
      </c>
    </row>
    <row r="432" spans="14:15" x14ac:dyDescent="0.35">
      <c r="N432">
        <v>431</v>
      </c>
      <c r="O432">
        <v>353049.97295061231</v>
      </c>
    </row>
    <row r="433" spans="14:15" x14ac:dyDescent="0.35">
      <c r="N433">
        <v>432</v>
      </c>
      <c r="O433">
        <v>357760.84513292706</v>
      </c>
    </row>
    <row r="434" spans="14:15" x14ac:dyDescent="0.35">
      <c r="N434">
        <v>433</v>
      </c>
      <c r="O434">
        <v>367359.4815439856</v>
      </c>
    </row>
    <row r="435" spans="14:15" x14ac:dyDescent="0.35">
      <c r="N435">
        <v>434</v>
      </c>
      <c r="O435">
        <v>352006.17477586708</v>
      </c>
    </row>
    <row r="436" spans="14:15" x14ac:dyDescent="0.35">
      <c r="N436">
        <v>435</v>
      </c>
      <c r="O436">
        <v>353258.94288181292</v>
      </c>
    </row>
    <row r="437" spans="14:15" x14ac:dyDescent="0.35">
      <c r="N437">
        <v>436</v>
      </c>
      <c r="O437">
        <v>352479.38149941876</v>
      </c>
    </row>
    <row r="438" spans="14:15" x14ac:dyDescent="0.35">
      <c r="N438">
        <v>437</v>
      </c>
      <c r="O438">
        <v>367030.80078684923</v>
      </c>
    </row>
    <row r="439" spans="14:15" x14ac:dyDescent="0.35">
      <c r="N439">
        <v>438</v>
      </c>
      <c r="O439">
        <v>366425.72299155319</v>
      </c>
    </row>
    <row r="440" spans="14:15" x14ac:dyDescent="0.35">
      <c r="N440">
        <v>439</v>
      </c>
      <c r="O440">
        <v>364883.98413765331</v>
      </c>
    </row>
    <row r="441" spans="14:15" x14ac:dyDescent="0.35">
      <c r="N441">
        <v>440</v>
      </c>
      <c r="O441">
        <v>361893.45409712708</v>
      </c>
    </row>
    <row r="442" spans="14:15" x14ac:dyDescent="0.35">
      <c r="N442">
        <v>441</v>
      </c>
      <c r="O442">
        <v>355717.75992956012</v>
      </c>
    </row>
    <row r="443" spans="14:15" x14ac:dyDescent="0.35">
      <c r="N443">
        <v>442</v>
      </c>
      <c r="O443">
        <v>372168.95820288156</v>
      </c>
    </row>
    <row r="444" spans="14:15" x14ac:dyDescent="0.35">
      <c r="N444">
        <v>443</v>
      </c>
      <c r="O444">
        <v>365947.31444071163</v>
      </c>
    </row>
    <row r="445" spans="14:15" x14ac:dyDescent="0.35">
      <c r="N445">
        <v>444</v>
      </c>
      <c r="O445">
        <v>381431.27384927263</v>
      </c>
    </row>
    <row r="446" spans="14:15" x14ac:dyDescent="0.35">
      <c r="N446">
        <v>445</v>
      </c>
      <c r="O446">
        <v>361094.97012807423</v>
      </c>
    </row>
    <row r="447" spans="14:15" x14ac:dyDescent="0.35">
      <c r="N447">
        <v>446</v>
      </c>
      <c r="O447">
        <v>368411.06220848684</v>
      </c>
    </row>
    <row r="448" spans="14:15" x14ac:dyDescent="0.35">
      <c r="N448">
        <v>447</v>
      </c>
      <c r="O448">
        <v>369778.45598775876</v>
      </c>
    </row>
    <row r="449" spans="14:15" x14ac:dyDescent="0.35">
      <c r="N449">
        <v>448</v>
      </c>
      <c r="O449">
        <v>370449.38176436641</v>
      </c>
    </row>
    <row r="450" spans="14:15" x14ac:dyDescent="0.35">
      <c r="N450">
        <v>449</v>
      </c>
      <c r="O450">
        <v>364174.64501760574</v>
      </c>
    </row>
    <row r="451" spans="14:15" x14ac:dyDescent="0.35">
      <c r="N451">
        <v>450</v>
      </c>
      <c r="O451">
        <v>358019.85250755912</v>
      </c>
    </row>
    <row r="452" spans="14:15" x14ac:dyDescent="0.35">
      <c r="N452">
        <v>451</v>
      </c>
      <c r="O452">
        <v>366412.8579626822</v>
      </c>
    </row>
    <row r="453" spans="14:15" x14ac:dyDescent="0.35">
      <c r="N453">
        <v>452</v>
      </c>
      <c r="O453">
        <v>355343.53548643435</v>
      </c>
    </row>
    <row r="454" spans="14:15" x14ac:dyDescent="0.35">
      <c r="N454">
        <v>453</v>
      </c>
      <c r="O454">
        <v>358571.50632584485</v>
      </c>
    </row>
    <row r="455" spans="14:15" x14ac:dyDescent="0.35">
      <c r="N455">
        <v>454</v>
      </c>
      <c r="O455">
        <v>373740.84803029988</v>
      </c>
    </row>
    <row r="456" spans="14:15" x14ac:dyDescent="0.35">
      <c r="N456">
        <v>455</v>
      </c>
      <c r="O456">
        <v>353369.72022964107</v>
      </c>
    </row>
    <row r="457" spans="14:15" x14ac:dyDescent="0.35">
      <c r="N457">
        <v>456</v>
      </c>
      <c r="O457">
        <v>370944.16684475436</v>
      </c>
    </row>
    <row r="458" spans="14:15" x14ac:dyDescent="0.35">
      <c r="N458">
        <v>457</v>
      </c>
      <c r="O458">
        <v>372848.15585829376</v>
      </c>
    </row>
    <row r="459" spans="14:15" x14ac:dyDescent="0.35">
      <c r="N459">
        <v>458</v>
      </c>
      <c r="O459">
        <v>355203.36244532902</v>
      </c>
    </row>
    <row r="460" spans="14:15" x14ac:dyDescent="0.35">
      <c r="N460">
        <v>459</v>
      </c>
      <c r="O460">
        <v>346663.90221823804</v>
      </c>
    </row>
    <row r="461" spans="14:15" x14ac:dyDescent="0.35">
      <c r="N461">
        <v>460</v>
      </c>
      <c r="O461">
        <v>359382.57664156397</v>
      </c>
    </row>
    <row r="462" spans="14:15" x14ac:dyDescent="0.35">
      <c r="N462">
        <v>461</v>
      </c>
      <c r="O462">
        <v>355656.76335278974</v>
      </c>
    </row>
    <row r="463" spans="14:15" x14ac:dyDescent="0.35">
      <c r="N463">
        <v>462</v>
      </c>
      <c r="O463">
        <v>357428.69213303406</v>
      </c>
    </row>
    <row r="464" spans="14:15" x14ac:dyDescent="0.35">
      <c r="N464">
        <v>463</v>
      </c>
      <c r="O464">
        <v>366488.23541974771</v>
      </c>
    </row>
    <row r="465" spans="14:15" x14ac:dyDescent="0.35">
      <c r="N465">
        <v>464</v>
      </c>
      <c r="O465">
        <v>352602.2650695396</v>
      </c>
    </row>
    <row r="466" spans="14:15" x14ac:dyDescent="0.35">
      <c r="N466">
        <v>465</v>
      </c>
      <c r="O466">
        <v>360588.03152530297</v>
      </c>
    </row>
    <row r="467" spans="14:15" x14ac:dyDescent="0.35">
      <c r="N467">
        <v>466</v>
      </c>
      <c r="O467">
        <v>360218.38695812406</v>
      </c>
    </row>
    <row r="468" spans="14:15" x14ac:dyDescent="0.35">
      <c r="N468">
        <v>467</v>
      </c>
      <c r="O468">
        <v>357048.83952652774</v>
      </c>
    </row>
    <row r="469" spans="14:15" x14ac:dyDescent="0.35">
      <c r="N469">
        <v>468</v>
      </c>
      <c r="O469">
        <v>371101.11408557568</v>
      </c>
    </row>
    <row r="470" spans="14:15" x14ac:dyDescent="0.35">
      <c r="N470">
        <v>469</v>
      </c>
      <c r="O470">
        <v>362668.11066380457</v>
      </c>
    </row>
    <row r="471" spans="14:15" x14ac:dyDescent="0.35">
      <c r="N471">
        <v>470</v>
      </c>
      <c r="O471">
        <v>363737.07155768783</v>
      </c>
    </row>
    <row r="472" spans="14:15" x14ac:dyDescent="0.35">
      <c r="N472">
        <v>471</v>
      </c>
      <c r="O472">
        <v>355723.16019353055</v>
      </c>
    </row>
    <row r="473" spans="14:15" x14ac:dyDescent="0.35">
      <c r="N473">
        <v>472</v>
      </c>
      <c r="O473">
        <v>353330.3254098887</v>
      </c>
    </row>
    <row r="474" spans="14:15" x14ac:dyDescent="0.35">
      <c r="N474">
        <v>473</v>
      </c>
      <c r="O474">
        <v>351821.53141971299</v>
      </c>
    </row>
    <row r="475" spans="14:15" x14ac:dyDescent="0.35">
      <c r="N475">
        <v>474</v>
      </c>
      <c r="O475">
        <v>366612.20611144591</v>
      </c>
    </row>
    <row r="476" spans="14:15" x14ac:dyDescent="0.35">
      <c r="N476">
        <v>475</v>
      </c>
      <c r="O476">
        <v>365297.50408483355</v>
      </c>
    </row>
    <row r="477" spans="14:15" x14ac:dyDescent="0.35">
      <c r="N477">
        <v>476</v>
      </c>
      <c r="O477">
        <v>376081.95429230691</v>
      </c>
    </row>
    <row r="478" spans="14:15" x14ac:dyDescent="0.35">
      <c r="N478">
        <v>477</v>
      </c>
      <c r="O478">
        <v>356250.7525788761</v>
      </c>
    </row>
    <row r="479" spans="14:15" x14ac:dyDescent="0.35">
      <c r="N479">
        <v>478</v>
      </c>
      <c r="O479">
        <v>361443.38707513886</v>
      </c>
    </row>
    <row r="480" spans="14:15" x14ac:dyDescent="0.35">
      <c r="N480">
        <v>479</v>
      </c>
      <c r="O480">
        <v>362644.90634533024</v>
      </c>
    </row>
    <row r="481" spans="14:15" x14ac:dyDescent="0.35">
      <c r="N481">
        <v>480</v>
      </c>
      <c r="O481">
        <v>341344.93387441279</v>
      </c>
    </row>
    <row r="482" spans="14:15" x14ac:dyDescent="0.35">
      <c r="N482">
        <v>481</v>
      </c>
      <c r="O482">
        <v>359730.13359497685</v>
      </c>
    </row>
    <row r="483" spans="14:15" x14ac:dyDescent="0.35">
      <c r="N483">
        <v>482</v>
      </c>
      <c r="O483">
        <v>355232.49832663487</v>
      </c>
    </row>
    <row r="484" spans="14:15" x14ac:dyDescent="0.35">
      <c r="N484">
        <v>483</v>
      </c>
      <c r="O484">
        <v>363990.57819090848</v>
      </c>
    </row>
    <row r="485" spans="14:15" x14ac:dyDescent="0.35">
      <c r="N485">
        <v>484</v>
      </c>
      <c r="O485">
        <v>373481.39546814736</v>
      </c>
    </row>
    <row r="486" spans="14:15" x14ac:dyDescent="0.35">
      <c r="N486">
        <v>485</v>
      </c>
      <c r="O486">
        <v>365798.39329269569</v>
      </c>
    </row>
    <row r="487" spans="14:15" x14ac:dyDescent="0.35">
      <c r="N487">
        <v>486</v>
      </c>
      <c r="O487">
        <v>362262.59461440257</v>
      </c>
    </row>
    <row r="488" spans="14:15" x14ac:dyDescent="0.35">
      <c r="N488">
        <v>487</v>
      </c>
      <c r="O488">
        <v>364574.09624896757</v>
      </c>
    </row>
    <row r="489" spans="14:15" x14ac:dyDescent="0.35">
      <c r="N489">
        <v>488</v>
      </c>
      <c r="O489">
        <v>379035.64378804644</v>
      </c>
    </row>
    <row r="490" spans="14:15" x14ac:dyDescent="0.35">
      <c r="N490">
        <v>489</v>
      </c>
      <c r="O490">
        <v>354223.16933361889</v>
      </c>
    </row>
    <row r="491" spans="14:15" x14ac:dyDescent="0.35">
      <c r="N491">
        <v>490</v>
      </c>
      <c r="O491">
        <v>356588.02099771594</v>
      </c>
    </row>
    <row r="492" spans="14:15" x14ac:dyDescent="0.35">
      <c r="N492">
        <v>491</v>
      </c>
      <c r="O492">
        <v>362741.75809993979</v>
      </c>
    </row>
    <row r="493" spans="14:15" x14ac:dyDescent="0.35">
      <c r="N493">
        <v>492</v>
      </c>
      <c r="O493">
        <v>365756.20069060719</v>
      </c>
    </row>
    <row r="494" spans="14:15" x14ac:dyDescent="0.35">
      <c r="N494">
        <v>493</v>
      </c>
      <c r="O494">
        <v>375218.78737881011</v>
      </c>
    </row>
    <row r="495" spans="14:15" x14ac:dyDescent="0.35">
      <c r="N495">
        <v>494</v>
      </c>
      <c r="O495">
        <v>360909.46901393129</v>
      </c>
    </row>
    <row r="496" spans="14:15" x14ac:dyDescent="0.35">
      <c r="N496">
        <v>495</v>
      </c>
      <c r="O496">
        <v>361187.25083056587</v>
      </c>
    </row>
    <row r="497" spans="14:15" x14ac:dyDescent="0.35">
      <c r="N497">
        <v>496</v>
      </c>
      <c r="O497">
        <v>373369.72234122775</v>
      </c>
    </row>
    <row r="498" spans="14:15" x14ac:dyDescent="0.35">
      <c r="N498">
        <v>497</v>
      </c>
      <c r="O498">
        <v>354129.13544855092</v>
      </c>
    </row>
    <row r="499" spans="14:15" x14ac:dyDescent="0.35">
      <c r="N499">
        <v>498</v>
      </c>
      <c r="O499">
        <v>348054.34567802405</v>
      </c>
    </row>
    <row r="500" spans="14:15" x14ac:dyDescent="0.35">
      <c r="N500">
        <v>499</v>
      </c>
      <c r="O500">
        <v>377081.6377114986</v>
      </c>
    </row>
    <row r="501" spans="14:15" x14ac:dyDescent="0.35">
      <c r="N501">
        <v>500</v>
      </c>
      <c r="O501">
        <v>374828.64266754832</v>
      </c>
    </row>
    <row r="502" spans="14:15" x14ac:dyDescent="0.35">
      <c r="N502">
        <v>501</v>
      </c>
      <c r="O502">
        <v>354604.8434363851</v>
      </c>
    </row>
    <row r="503" spans="14:15" x14ac:dyDescent="0.35">
      <c r="N503">
        <v>502</v>
      </c>
      <c r="O503">
        <v>360930.19181287638</v>
      </c>
    </row>
    <row r="504" spans="14:15" x14ac:dyDescent="0.35">
      <c r="N504">
        <v>503</v>
      </c>
      <c r="O504">
        <v>350622.71582722594</v>
      </c>
    </row>
    <row r="505" spans="14:15" x14ac:dyDescent="0.35">
      <c r="N505">
        <v>504</v>
      </c>
      <c r="O505">
        <v>374528.82944876718</v>
      </c>
    </row>
    <row r="506" spans="14:15" x14ac:dyDescent="0.35">
      <c r="N506">
        <v>505</v>
      </c>
      <c r="O506">
        <v>349616.10078402783</v>
      </c>
    </row>
    <row r="507" spans="14:15" x14ac:dyDescent="0.35">
      <c r="N507">
        <v>506</v>
      </c>
      <c r="O507">
        <v>363038.84766130144</v>
      </c>
    </row>
    <row r="508" spans="14:15" x14ac:dyDescent="0.35">
      <c r="N508">
        <v>507</v>
      </c>
      <c r="O508">
        <v>367281.38484292675</v>
      </c>
    </row>
    <row r="509" spans="14:15" x14ac:dyDescent="0.35">
      <c r="N509">
        <v>508</v>
      </c>
      <c r="O509">
        <v>355370.63793295308</v>
      </c>
    </row>
    <row r="510" spans="14:15" x14ac:dyDescent="0.35">
      <c r="N510">
        <v>509</v>
      </c>
      <c r="O510">
        <v>362426.93266427354</v>
      </c>
    </row>
    <row r="511" spans="14:15" x14ac:dyDescent="0.35">
      <c r="N511">
        <v>510</v>
      </c>
      <c r="O511">
        <v>355899.61367542233</v>
      </c>
    </row>
    <row r="512" spans="14:15" x14ac:dyDescent="0.35">
      <c r="N512">
        <v>511</v>
      </c>
      <c r="O512">
        <v>359115.40466855501</v>
      </c>
    </row>
    <row r="513" spans="14:15" x14ac:dyDescent="0.35">
      <c r="N513">
        <v>512</v>
      </c>
      <c r="O513">
        <v>360399.60920492222</v>
      </c>
    </row>
    <row r="514" spans="14:15" x14ac:dyDescent="0.35">
      <c r="N514">
        <v>513</v>
      </c>
      <c r="O514">
        <v>358597.73455529317</v>
      </c>
    </row>
    <row r="515" spans="14:15" x14ac:dyDescent="0.35">
      <c r="N515">
        <v>514</v>
      </c>
      <c r="O515">
        <v>350999.15624537214</v>
      </c>
    </row>
    <row r="516" spans="14:15" x14ac:dyDescent="0.35">
      <c r="N516">
        <v>515</v>
      </c>
      <c r="O516">
        <v>363211.09999281389</v>
      </c>
    </row>
    <row r="517" spans="14:15" x14ac:dyDescent="0.35">
      <c r="N517">
        <v>516</v>
      </c>
      <c r="O517">
        <v>356238.22771427967</v>
      </c>
    </row>
    <row r="518" spans="14:15" x14ac:dyDescent="0.35">
      <c r="N518">
        <v>517</v>
      </c>
      <c r="O518">
        <v>365447.6890851144</v>
      </c>
    </row>
    <row r="519" spans="14:15" x14ac:dyDescent="0.35">
      <c r="N519">
        <v>518</v>
      </c>
      <c r="O519">
        <v>374412.86110481719</v>
      </c>
    </row>
    <row r="520" spans="14:15" x14ac:dyDescent="0.35">
      <c r="N520">
        <v>519</v>
      </c>
      <c r="O520">
        <v>363727.66310839436</v>
      </c>
    </row>
    <row r="521" spans="14:15" x14ac:dyDescent="0.35">
      <c r="N521">
        <v>520</v>
      </c>
      <c r="O521">
        <v>360156.46662521322</v>
      </c>
    </row>
    <row r="522" spans="14:15" x14ac:dyDescent="0.35">
      <c r="N522">
        <v>521</v>
      </c>
      <c r="O522">
        <v>350595.12714723899</v>
      </c>
    </row>
    <row r="523" spans="14:15" x14ac:dyDescent="0.35">
      <c r="N523">
        <v>522</v>
      </c>
      <c r="O523">
        <v>349596.92918352544</v>
      </c>
    </row>
    <row r="524" spans="14:15" x14ac:dyDescent="0.35">
      <c r="N524">
        <v>523</v>
      </c>
      <c r="O524">
        <v>366727.13216164167</v>
      </c>
    </row>
    <row r="525" spans="14:15" x14ac:dyDescent="0.35">
      <c r="N525">
        <v>524</v>
      </c>
      <c r="O525">
        <v>369913.86018689815</v>
      </c>
    </row>
    <row r="526" spans="14:15" x14ac:dyDescent="0.35">
      <c r="N526">
        <v>525</v>
      </c>
      <c r="O526">
        <v>364676.27074814407</v>
      </c>
    </row>
    <row r="527" spans="14:15" x14ac:dyDescent="0.35">
      <c r="N527">
        <v>526</v>
      </c>
      <c r="O527">
        <v>358915.17079149291</v>
      </c>
    </row>
    <row r="528" spans="14:15" x14ac:dyDescent="0.35">
      <c r="N528">
        <v>527</v>
      </c>
      <c r="O528">
        <v>359346.14383820369</v>
      </c>
    </row>
    <row r="529" spans="14:15" x14ac:dyDescent="0.35">
      <c r="N529">
        <v>528</v>
      </c>
      <c r="O529">
        <v>353394.51102293632</v>
      </c>
    </row>
    <row r="530" spans="14:15" x14ac:dyDescent="0.35">
      <c r="N530">
        <v>529</v>
      </c>
      <c r="O530">
        <v>368973.13624233095</v>
      </c>
    </row>
    <row r="531" spans="14:15" x14ac:dyDescent="0.35">
      <c r="N531">
        <v>530</v>
      </c>
      <c r="O531">
        <v>360081.26772945951</v>
      </c>
    </row>
    <row r="532" spans="14:15" x14ac:dyDescent="0.35">
      <c r="N532">
        <v>531</v>
      </c>
      <c r="O532">
        <v>348384.36854690569</v>
      </c>
    </row>
    <row r="533" spans="14:15" x14ac:dyDescent="0.35">
      <c r="N533">
        <v>532</v>
      </c>
      <c r="O533">
        <v>358955.36257852329</v>
      </c>
    </row>
    <row r="534" spans="14:15" x14ac:dyDescent="0.35">
      <c r="N534">
        <v>533</v>
      </c>
      <c r="O534">
        <v>363429.55786472303</v>
      </c>
    </row>
    <row r="535" spans="14:15" x14ac:dyDescent="0.35">
      <c r="N535">
        <v>534</v>
      </c>
      <c r="O535">
        <v>354835.55990327802</v>
      </c>
    </row>
    <row r="536" spans="14:15" x14ac:dyDescent="0.35">
      <c r="N536">
        <v>535</v>
      </c>
      <c r="O536">
        <v>363101.27383166482</v>
      </c>
    </row>
    <row r="537" spans="14:15" x14ac:dyDescent="0.35">
      <c r="N537">
        <v>536</v>
      </c>
      <c r="O537">
        <v>359886.85915927537</v>
      </c>
    </row>
    <row r="538" spans="14:15" x14ac:dyDescent="0.35">
      <c r="N538">
        <v>537</v>
      </c>
      <c r="O538">
        <v>365943.01312045648</v>
      </c>
    </row>
    <row r="539" spans="14:15" x14ac:dyDescent="0.35">
      <c r="N539">
        <v>538</v>
      </c>
      <c r="O539">
        <v>349143.65915687889</v>
      </c>
    </row>
    <row r="540" spans="14:15" x14ac:dyDescent="0.35">
      <c r="N540">
        <v>539</v>
      </c>
      <c r="O540">
        <v>365708.25720825081</v>
      </c>
    </row>
    <row r="541" spans="14:15" x14ac:dyDescent="0.35">
      <c r="N541">
        <v>540</v>
      </c>
      <c r="O541">
        <v>358949.12490927998</v>
      </c>
    </row>
    <row r="542" spans="14:15" x14ac:dyDescent="0.35">
      <c r="N542">
        <v>541</v>
      </c>
      <c r="O542">
        <v>353798.71645561984</v>
      </c>
    </row>
    <row r="543" spans="14:15" x14ac:dyDescent="0.35">
      <c r="N543">
        <v>542</v>
      </c>
      <c r="O543">
        <v>365273.40649523499</v>
      </c>
    </row>
    <row r="544" spans="14:15" x14ac:dyDescent="0.35">
      <c r="N544">
        <v>543</v>
      </c>
      <c r="O544">
        <v>361906.06534769724</v>
      </c>
    </row>
    <row r="545" spans="14:15" x14ac:dyDescent="0.35">
      <c r="N545">
        <v>544</v>
      </c>
      <c r="O545">
        <v>360371.59439818229</v>
      </c>
    </row>
    <row r="546" spans="14:15" x14ac:dyDescent="0.35">
      <c r="N546">
        <v>545</v>
      </c>
      <c r="O546">
        <v>363493.275212646</v>
      </c>
    </row>
    <row r="547" spans="14:15" x14ac:dyDescent="0.35">
      <c r="N547">
        <v>546</v>
      </c>
      <c r="O547">
        <v>378367.87601729989</v>
      </c>
    </row>
    <row r="548" spans="14:15" x14ac:dyDescent="0.35">
      <c r="N548">
        <v>547</v>
      </c>
      <c r="O548">
        <v>358231.34736161178</v>
      </c>
    </row>
    <row r="549" spans="14:15" x14ac:dyDescent="0.35">
      <c r="N549">
        <v>548</v>
      </c>
      <c r="O549">
        <v>370699.8530113867</v>
      </c>
    </row>
    <row r="550" spans="14:15" x14ac:dyDescent="0.35">
      <c r="N550">
        <v>549</v>
      </c>
      <c r="O550">
        <v>355487.81295392168</v>
      </c>
    </row>
    <row r="551" spans="14:15" x14ac:dyDescent="0.35">
      <c r="N551">
        <v>550</v>
      </c>
      <c r="O551">
        <v>357575.79706003808</v>
      </c>
    </row>
    <row r="552" spans="14:15" x14ac:dyDescent="0.35">
      <c r="N552">
        <v>551</v>
      </c>
      <c r="O552">
        <v>362862.17085391528</v>
      </c>
    </row>
    <row r="553" spans="14:15" x14ac:dyDescent="0.35">
      <c r="N553">
        <v>552</v>
      </c>
      <c r="O553">
        <v>379837.61505897442</v>
      </c>
    </row>
    <row r="554" spans="14:15" x14ac:dyDescent="0.35">
      <c r="N554">
        <v>553</v>
      </c>
      <c r="O554">
        <v>354208.42807633383</v>
      </c>
    </row>
    <row r="555" spans="14:15" x14ac:dyDescent="0.35">
      <c r="N555">
        <v>554</v>
      </c>
      <c r="O555">
        <v>347504.16653868707</v>
      </c>
    </row>
    <row r="556" spans="14:15" x14ac:dyDescent="0.35">
      <c r="N556">
        <v>555</v>
      </c>
      <c r="O556">
        <v>365388.52951631742</v>
      </c>
    </row>
    <row r="557" spans="14:15" x14ac:dyDescent="0.35">
      <c r="N557">
        <v>556</v>
      </c>
      <c r="O557">
        <v>380060.1770167544</v>
      </c>
    </row>
    <row r="558" spans="14:15" x14ac:dyDescent="0.35">
      <c r="N558">
        <v>557</v>
      </c>
      <c r="O558">
        <v>355428.08416998718</v>
      </c>
    </row>
    <row r="559" spans="14:15" x14ac:dyDescent="0.35">
      <c r="N559">
        <v>558</v>
      </c>
      <c r="O559">
        <v>354667.2929444575</v>
      </c>
    </row>
    <row r="560" spans="14:15" x14ac:dyDescent="0.35">
      <c r="N560">
        <v>559</v>
      </c>
      <c r="O560">
        <v>358727.84798362304</v>
      </c>
    </row>
    <row r="561" spans="14:15" x14ac:dyDescent="0.35">
      <c r="N561">
        <v>560</v>
      </c>
      <c r="O561">
        <v>353710.71393554821</v>
      </c>
    </row>
    <row r="562" spans="14:15" x14ac:dyDescent="0.35">
      <c r="N562">
        <v>561</v>
      </c>
      <c r="O562">
        <v>352837.97965572629</v>
      </c>
    </row>
    <row r="563" spans="14:15" x14ac:dyDescent="0.35">
      <c r="N563">
        <v>562</v>
      </c>
      <c r="O563">
        <v>354537.13852400181</v>
      </c>
    </row>
    <row r="564" spans="14:15" x14ac:dyDescent="0.35">
      <c r="N564">
        <v>563</v>
      </c>
      <c r="O564">
        <v>374913.49898690503</v>
      </c>
    </row>
    <row r="565" spans="14:15" x14ac:dyDescent="0.35">
      <c r="N565">
        <v>564</v>
      </c>
      <c r="O565">
        <v>373916.39659887733</v>
      </c>
    </row>
    <row r="566" spans="14:15" x14ac:dyDescent="0.35">
      <c r="N566">
        <v>565</v>
      </c>
      <c r="O566">
        <v>354411.57793397474</v>
      </c>
    </row>
    <row r="567" spans="14:15" x14ac:dyDescent="0.35">
      <c r="N567">
        <v>566</v>
      </c>
      <c r="O567">
        <v>369398.63825040526</v>
      </c>
    </row>
    <row r="568" spans="14:15" x14ac:dyDescent="0.35">
      <c r="N568">
        <v>567</v>
      </c>
      <c r="O568">
        <v>351523.31883323233</v>
      </c>
    </row>
    <row r="569" spans="14:15" x14ac:dyDescent="0.35">
      <c r="N569">
        <v>568</v>
      </c>
      <c r="O569">
        <v>360447.21433574159</v>
      </c>
    </row>
    <row r="570" spans="14:15" x14ac:dyDescent="0.35">
      <c r="N570">
        <v>569</v>
      </c>
      <c r="O570">
        <v>359216.50276535656</v>
      </c>
    </row>
    <row r="571" spans="14:15" x14ac:dyDescent="0.35">
      <c r="N571">
        <v>570</v>
      </c>
      <c r="O571">
        <v>370866.83331449126</v>
      </c>
    </row>
    <row r="572" spans="14:15" x14ac:dyDescent="0.35">
      <c r="N572">
        <v>571</v>
      </c>
      <c r="O572">
        <v>379815.14644382417</v>
      </c>
    </row>
    <row r="573" spans="14:15" x14ac:dyDescent="0.35">
      <c r="N573">
        <v>572</v>
      </c>
      <c r="O573">
        <v>366053.27243909833</v>
      </c>
    </row>
    <row r="574" spans="14:15" x14ac:dyDescent="0.35">
      <c r="N574">
        <v>573</v>
      </c>
      <c r="O574">
        <v>367527.16516585666</v>
      </c>
    </row>
    <row r="575" spans="14:15" x14ac:dyDescent="0.35">
      <c r="N575">
        <v>574</v>
      </c>
      <c r="O575">
        <v>362832.19463646185</v>
      </c>
    </row>
    <row r="576" spans="14:15" x14ac:dyDescent="0.35">
      <c r="N576">
        <v>575</v>
      </c>
      <c r="O576">
        <v>362150.01788536267</v>
      </c>
    </row>
    <row r="577" spans="14:15" x14ac:dyDescent="0.35">
      <c r="N577">
        <v>576</v>
      </c>
      <c r="O577">
        <v>354223.35320270038</v>
      </c>
    </row>
    <row r="578" spans="14:15" x14ac:dyDescent="0.35">
      <c r="N578">
        <v>577</v>
      </c>
      <c r="O578">
        <v>365846.93434606947</v>
      </c>
    </row>
    <row r="579" spans="14:15" x14ac:dyDescent="0.35">
      <c r="N579">
        <v>578</v>
      </c>
      <c r="O579">
        <v>357573.69964529888</v>
      </c>
    </row>
    <row r="580" spans="14:15" x14ac:dyDescent="0.35">
      <c r="N580">
        <v>579</v>
      </c>
      <c r="O580">
        <v>361629.22158487298</v>
      </c>
    </row>
    <row r="581" spans="14:15" x14ac:dyDescent="0.35">
      <c r="N581">
        <v>580</v>
      </c>
      <c r="O581">
        <v>366664.6582820465</v>
      </c>
    </row>
    <row r="582" spans="14:15" x14ac:dyDescent="0.35">
      <c r="N582">
        <v>581</v>
      </c>
      <c r="O582">
        <v>353901.9565392232</v>
      </c>
    </row>
    <row r="583" spans="14:15" x14ac:dyDescent="0.35">
      <c r="N583">
        <v>582</v>
      </c>
      <c r="O583">
        <v>366193.45377757162</v>
      </c>
    </row>
    <row r="584" spans="14:15" x14ac:dyDescent="0.35">
      <c r="N584">
        <v>583</v>
      </c>
      <c r="O584">
        <v>363390.18002407649</v>
      </c>
    </row>
    <row r="585" spans="14:15" x14ac:dyDescent="0.35">
      <c r="N585">
        <v>584</v>
      </c>
      <c r="O585">
        <v>364955.19629947946</v>
      </c>
    </row>
    <row r="586" spans="14:15" x14ac:dyDescent="0.35">
      <c r="N586">
        <v>585</v>
      </c>
      <c r="O586">
        <v>355991.4947285832</v>
      </c>
    </row>
    <row r="587" spans="14:15" x14ac:dyDescent="0.35">
      <c r="N587">
        <v>586</v>
      </c>
      <c r="O587">
        <v>370567.17577703547</v>
      </c>
    </row>
    <row r="588" spans="14:15" x14ac:dyDescent="0.35">
      <c r="N588">
        <v>587</v>
      </c>
      <c r="O588">
        <v>361569.06424808089</v>
      </c>
    </row>
    <row r="589" spans="14:15" x14ac:dyDescent="0.35">
      <c r="N589">
        <v>588</v>
      </c>
      <c r="O589">
        <v>371197.06322196557</v>
      </c>
    </row>
    <row r="590" spans="14:15" x14ac:dyDescent="0.35">
      <c r="N590">
        <v>589</v>
      </c>
      <c r="O590">
        <v>358553.84852772631</v>
      </c>
    </row>
    <row r="591" spans="14:15" x14ac:dyDescent="0.35">
      <c r="N591">
        <v>590</v>
      </c>
      <c r="O591">
        <v>384045.5610981966</v>
      </c>
    </row>
    <row r="592" spans="14:15" x14ac:dyDescent="0.35">
      <c r="N592">
        <v>591</v>
      </c>
      <c r="O592">
        <v>353246.59362709476</v>
      </c>
    </row>
    <row r="593" spans="14:15" x14ac:dyDescent="0.35">
      <c r="N593">
        <v>592</v>
      </c>
      <c r="O593">
        <v>361313.29508432472</v>
      </c>
    </row>
    <row r="594" spans="14:15" x14ac:dyDescent="0.35">
      <c r="N594">
        <v>593</v>
      </c>
      <c r="O594">
        <v>360759.36126370978</v>
      </c>
    </row>
    <row r="595" spans="14:15" x14ac:dyDescent="0.35">
      <c r="N595">
        <v>594</v>
      </c>
      <c r="O595">
        <v>350304.81346487603</v>
      </c>
    </row>
    <row r="596" spans="14:15" x14ac:dyDescent="0.35">
      <c r="N596">
        <v>595</v>
      </c>
      <c r="O596">
        <v>362474.44868576195</v>
      </c>
    </row>
    <row r="597" spans="14:15" x14ac:dyDescent="0.35">
      <c r="N597">
        <v>596</v>
      </c>
      <c r="O597">
        <v>355611.21595163981</v>
      </c>
    </row>
    <row r="598" spans="14:15" x14ac:dyDescent="0.35">
      <c r="N598">
        <v>597</v>
      </c>
      <c r="O598">
        <v>352945.07504270249</v>
      </c>
    </row>
    <row r="599" spans="14:15" x14ac:dyDescent="0.35">
      <c r="N599">
        <v>598</v>
      </c>
      <c r="O599">
        <v>357798.52859325474</v>
      </c>
    </row>
    <row r="600" spans="14:15" x14ac:dyDescent="0.35">
      <c r="N600">
        <v>599</v>
      </c>
      <c r="O600">
        <v>362817.45300177566</v>
      </c>
    </row>
    <row r="601" spans="14:15" x14ac:dyDescent="0.35">
      <c r="N601">
        <v>600</v>
      </c>
      <c r="O601">
        <v>359183.47495858232</v>
      </c>
    </row>
    <row r="602" spans="14:15" x14ac:dyDescent="0.35">
      <c r="N602">
        <v>601</v>
      </c>
      <c r="O602">
        <v>355704.22936544975</v>
      </c>
    </row>
    <row r="603" spans="14:15" x14ac:dyDescent="0.35">
      <c r="N603">
        <v>602</v>
      </c>
      <c r="O603">
        <v>364522.04554615397</v>
      </c>
    </row>
    <row r="604" spans="14:15" x14ac:dyDescent="0.35">
      <c r="N604">
        <v>603</v>
      </c>
      <c r="O604">
        <v>349378.84443635395</v>
      </c>
    </row>
    <row r="605" spans="14:15" x14ac:dyDescent="0.35">
      <c r="N605">
        <v>604</v>
      </c>
      <c r="O605">
        <v>369786.62857784238</v>
      </c>
    </row>
    <row r="606" spans="14:15" x14ac:dyDescent="0.35">
      <c r="N606">
        <v>605</v>
      </c>
      <c r="O606">
        <v>362677.58876591583</v>
      </c>
    </row>
    <row r="607" spans="14:15" x14ac:dyDescent="0.35">
      <c r="N607">
        <v>606</v>
      </c>
      <c r="O607">
        <v>365231.13728789781</v>
      </c>
    </row>
    <row r="608" spans="14:15" x14ac:dyDescent="0.35">
      <c r="N608">
        <v>607</v>
      </c>
      <c r="O608">
        <v>355095.02096869267</v>
      </c>
    </row>
    <row r="609" spans="14:15" x14ac:dyDescent="0.35">
      <c r="N609">
        <v>608</v>
      </c>
      <c r="O609">
        <v>355194.00052778888</v>
      </c>
    </row>
    <row r="610" spans="14:15" x14ac:dyDescent="0.35">
      <c r="N610">
        <v>609</v>
      </c>
      <c r="O610">
        <v>370296.95836981531</v>
      </c>
    </row>
    <row r="611" spans="14:15" x14ac:dyDescent="0.35">
      <c r="N611">
        <v>610</v>
      </c>
      <c r="O611">
        <v>376098.82456609054</v>
      </c>
    </row>
    <row r="612" spans="14:15" x14ac:dyDescent="0.35">
      <c r="N612">
        <v>611</v>
      </c>
      <c r="O612">
        <v>361092.24740274809</v>
      </c>
    </row>
    <row r="613" spans="14:15" x14ac:dyDescent="0.35">
      <c r="N613">
        <v>612</v>
      </c>
      <c r="O613">
        <v>360602.04957479879</v>
      </c>
    </row>
    <row r="614" spans="14:15" x14ac:dyDescent="0.35">
      <c r="N614">
        <v>613</v>
      </c>
      <c r="O614">
        <v>360170.87646052509</v>
      </c>
    </row>
    <row r="615" spans="14:15" x14ac:dyDescent="0.35">
      <c r="N615">
        <v>614</v>
      </c>
      <c r="O615">
        <v>354240.69718114828</v>
      </c>
    </row>
    <row r="616" spans="14:15" x14ac:dyDescent="0.35">
      <c r="N616">
        <v>615</v>
      </c>
      <c r="O616">
        <v>365029.88373212673</v>
      </c>
    </row>
    <row r="617" spans="14:15" x14ac:dyDescent="0.35">
      <c r="N617">
        <v>616</v>
      </c>
      <c r="O617">
        <v>347183.49628462608</v>
      </c>
    </row>
    <row r="618" spans="14:15" x14ac:dyDescent="0.35">
      <c r="N618">
        <v>617</v>
      </c>
      <c r="O618">
        <v>367809.8434109182</v>
      </c>
    </row>
    <row r="619" spans="14:15" x14ac:dyDescent="0.35">
      <c r="N619">
        <v>618</v>
      </c>
      <c r="O619">
        <v>371179.03875061125</v>
      </c>
    </row>
    <row r="620" spans="14:15" x14ac:dyDescent="0.35">
      <c r="N620">
        <v>619</v>
      </c>
      <c r="O620">
        <v>352032.45378038724</v>
      </c>
    </row>
    <row r="621" spans="14:15" x14ac:dyDescent="0.35">
      <c r="N621">
        <v>620</v>
      </c>
      <c r="O621">
        <v>353453.71227528196</v>
      </c>
    </row>
    <row r="622" spans="14:15" x14ac:dyDescent="0.35">
      <c r="N622">
        <v>621</v>
      </c>
      <c r="O622">
        <v>357717.58755790745</v>
      </c>
    </row>
    <row r="623" spans="14:15" x14ac:dyDescent="0.35">
      <c r="N623">
        <v>622</v>
      </c>
      <c r="O623">
        <v>349541.37085466058</v>
      </c>
    </row>
    <row r="624" spans="14:15" x14ac:dyDescent="0.35">
      <c r="N624">
        <v>623</v>
      </c>
      <c r="O624">
        <v>361406.32777198497</v>
      </c>
    </row>
    <row r="625" spans="14:15" x14ac:dyDescent="0.35">
      <c r="N625">
        <v>624</v>
      </c>
      <c r="O625">
        <v>366235.58531199297</v>
      </c>
    </row>
    <row r="626" spans="14:15" x14ac:dyDescent="0.35">
      <c r="N626">
        <v>625</v>
      </c>
      <c r="O626">
        <v>364219.36557687621</v>
      </c>
    </row>
    <row r="627" spans="14:15" x14ac:dyDescent="0.35">
      <c r="N627">
        <v>626</v>
      </c>
      <c r="O627">
        <v>360130.8524683672</v>
      </c>
    </row>
    <row r="628" spans="14:15" x14ac:dyDescent="0.35">
      <c r="N628">
        <v>627</v>
      </c>
      <c r="O628">
        <v>368955.61341879767</v>
      </c>
    </row>
    <row r="629" spans="14:15" x14ac:dyDescent="0.35">
      <c r="N629">
        <v>628</v>
      </c>
      <c r="O629">
        <v>363644.74709860492</v>
      </c>
    </row>
    <row r="630" spans="14:15" x14ac:dyDescent="0.35">
      <c r="N630">
        <v>629</v>
      </c>
      <c r="O630">
        <v>373320.33164460701</v>
      </c>
    </row>
    <row r="631" spans="14:15" x14ac:dyDescent="0.35">
      <c r="N631">
        <v>630</v>
      </c>
      <c r="O631">
        <v>365814.88882132969</v>
      </c>
    </row>
    <row r="632" spans="14:15" x14ac:dyDescent="0.35">
      <c r="N632">
        <v>631</v>
      </c>
      <c r="O632">
        <v>365557.09228991851</v>
      </c>
    </row>
    <row r="633" spans="14:15" x14ac:dyDescent="0.35">
      <c r="N633">
        <v>632</v>
      </c>
      <c r="O633">
        <v>368352.92331505695</v>
      </c>
    </row>
    <row r="634" spans="14:15" x14ac:dyDescent="0.35">
      <c r="N634">
        <v>633</v>
      </c>
      <c r="O634">
        <v>357984.38597866031</v>
      </c>
    </row>
    <row r="635" spans="14:15" x14ac:dyDescent="0.35">
      <c r="N635">
        <v>634</v>
      </c>
      <c r="O635">
        <v>369030.12846343295</v>
      </c>
    </row>
    <row r="636" spans="14:15" x14ac:dyDescent="0.35">
      <c r="N636">
        <v>635</v>
      </c>
      <c r="O636">
        <v>366641.26234869688</v>
      </c>
    </row>
    <row r="637" spans="14:15" x14ac:dyDescent="0.35">
      <c r="N637">
        <v>636</v>
      </c>
      <c r="O637">
        <v>348528.98923815106</v>
      </c>
    </row>
    <row r="638" spans="14:15" x14ac:dyDescent="0.35">
      <c r="N638">
        <v>637</v>
      </c>
      <c r="O638">
        <v>363228.89573714481</v>
      </c>
    </row>
    <row r="639" spans="14:15" x14ac:dyDescent="0.35">
      <c r="N639">
        <v>638</v>
      </c>
      <c r="O639">
        <v>365283.42720482813</v>
      </c>
    </row>
    <row r="640" spans="14:15" x14ac:dyDescent="0.35">
      <c r="N640">
        <v>639</v>
      </c>
      <c r="O640">
        <v>362174.574507938</v>
      </c>
    </row>
    <row r="641" spans="14:15" x14ac:dyDescent="0.35">
      <c r="N641">
        <v>640</v>
      </c>
      <c r="O641">
        <v>372742.44870813692</v>
      </c>
    </row>
    <row r="642" spans="14:15" x14ac:dyDescent="0.35">
      <c r="N642">
        <v>641</v>
      </c>
      <c r="O642">
        <v>358240.49360366585</v>
      </c>
    </row>
    <row r="643" spans="14:15" x14ac:dyDescent="0.35">
      <c r="N643">
        <v>642</v>
      </c>
      <c r="O643">
        <v>357863.31808474683</v>
      </c>
    </row>
    <row r="644" spans="14:15" x14ac:dyDescent="0.35">
      <c r="N644">
        <v>643</v>
      </c>
      <c r="O644">
        <v>354578.62404240191</v>
      </c>
    </row>
    <row r="645" spans="14:15" x14ac:dyDescent="0.35">
      <c r="N645">
        <v>644</v>
      </c>
      <c r="O645">
        <v>365258.99086562864</v>
      </c>
    </row>
    <row r="646" spans="14:15" x14ac:dyDescent="0.35">
      <c r="N646">
        <v>645</v>
      </c>
      <c r="O646">
        <v>341100.0724092467</v>
      </c>
    </row>
    <row r="647" spans="14:15" x14ac:dyDescent="0.35">
      <c r="N647">
        <v>646</v>
      </c>
      <c r="O647">
        <v>368511.88084716664</v>
      </c>
    </row>
    <row r="648" spans="14:15" x14ac:dyDescent="0.35">
      <c r="N648">
        <v>647</v>
      </c>
      <c r="O648">
        <v>359314.43229979952</v>
      </c>
    </row>
    <row r="649" spans="14:15" x14ac:dyDescent="0.35">
      <c r="N649">
        <v>648</v>
      </c>
      <c r="O649">
        <v>358742.43768357486</v>
      </c>
    </row>
    <row r="650" spans="14:15" x14ac:dyDescent="0.35">
      <c r="N650">
        <v>649</v>
      </c>
      <c r="O650">
        <v>362860.47110462195</v>
      </c>
    </row>
    <row r="651" spans="14:15" x14ac:dyDescent="0.35">
      <c r="N651">
        <v>650</v>
      </c>
      <c r="O651">
        <v>361330.17618093966</v>
      </c>
    </row>
    <row r="652" spans="14:15" x14ac:dyDescent="0.35">
      <c r="N652">
        <v>651</v>
      </c>
      <c r="O652">
        <v>341843.65172350121</v>
      </c>
    </row>
    <row r="653" spans="14:15" x14ac:dyDescent="0.35">
      <c r="N653">
        <v>652</v>
      </c>
      <c r="O653">
        <v>352173.19552276394</v>
      </c>
    </row>
    <row r="654" spans="14:15" x14ac:dyDescent="0.35">
      <c r="N654">
        <v>653</v>
      </c>
      <c r="O654">
        <v>358469.61418640125</v>
      </c>
    </row>
    <row r="655" spans="14:15" x14ac:dyDescent="0.35">
      <c r="N655">
        <v>654</v>
      </c>
      <c r="O655">
        <v>352597.24505662121</v>
      </c>
    </row>
    <row r="656" spans="14:15" x14ac:dyDescent="0.35">
      <c r="N656">
        <v>655</v>
      </c>
      <c r="O656">
        <v>354515.35286566609</v>
      </c>
    </row>
    <row r="657" spans="14:15" x14ac:dyDescent="0.35">
      <c r="N657">
        <v>656</v>
      </c>
      <c r="O657">
        <v>354586.79004755034</v>
      </c>
    </row>
    <row r="658" spans="14:15" x14ac:dyDescent="0.35">
      <c r="N658">
        <v>657</v>
      </c>
      <c r="O658">
        <v>353589.05681588146</v>
      </c>
    </row>
    <row r="659" spans="14:15" x14ac:dyDescent="0.35">
      <c r="N659">
        <v>658</v>
      </c>
      <c r="O659">
        <v>369629.09383634466</v>
      </c>
    </row>
    <row r="660" spans="14:15" x14ac:dyDescent="0.35">
      <c r="N660">
        <v>659</v>
      </c>
      <c r="O660">
        <v>368000.76532666781</v>
      </c>
    </row>
    <row r="661" spans="14:15" x14ac:dyDescent="0.35">
      <c r="N661">
        <v>660</v>
      </c>
      <c r="O661">
        <v>372036.60405521572</v>
      </c>
    </row>
    <row r="662" spans="14:15" x14ac:dyDescent="0.35">
      <c r="N662">
        <v>661</v>
      </c>
      <c r="O662">
        <v>360176.16942826932</v>
      </c>
    </row>
    <row r="663" spans="14:15" x14ac:dyDescent="0.35">
      <c r="N663">
        <v>662</v>
      </c>
      <c r="O663">
        <v>356207.45915904996</v>
      </c>
    </row>
    <row r="664" spans="14:15" x14ac:dyDescent="0.35">
      <c r="N664">
        <v>663</v>
      </c>
      <c r="O664">
        <v>361130.19655502751</v>
      </c>
    </row>
    <row r="665" spans="14:15" x14ac:dyDescent="0.35">
      <c r="N665">
        <v>664</v>
      </c>
      <c r="O665">
        <v>366753.01209866087</v>
      </c>
    </row>
    <row r="666" spans="14:15" x14ac:dyDescent="0.35">
      <c r="N666">
        <v>665</v>
      </c>
      <c r="O666">
        <v>361550.79724422866</v>
      </c>
    </row>
    <row r="667" spans="14:15" x14ac:dyDescent="0.35">
      <c r="N667">
        <v>666</v>
      </c>
      <c r="O667">
        <v>358810.03245606157</v>
      </c>
    </row>
    <row r="668" spans="14:15" x14ac:dyDescent="0.35">
      <c r="N668">
        <v>667</v>
      </c>
      <c r="O668">
        <v>357088.41361815273</v>
      </c>
    </row>
    <row r="669" spans="14:15" x14ac:dyDescent="0.35">
      <c r="N669">
        <v>668</v>
      </c>
      <c r="O669">
        <v>359723.94551339006</v>
      </c>
    </row>
    <row r="670" spans="14:15" x14ac:dyDescent="0.35">
      <c r="N670">
        <v>669</v>
      </c>
      <c r="O670">
        <v>354618.28745240049</v>
      </c>
    </row>
    <row r="671" spans="14:15" x14ac:dyDescent="0.35">
      <c r="N671">
        <v>670</v>
      </c>
      <c r="O671">
        <v>370066.68931216659</v>
      </c>
    </row>
    <row r="672" spans="14:15" x14ac:dyDescent="0.35">
      <c r="N672">
        <v>671</v>
      </c>
      <c r="O672">
        <v>358731.87569083966</v>
      </c>
    </row>
    <row r="673" spans="14:15" x14ac:dyDescent="0.35">
      <c r="N673">
        <v>672</v>
      </c>
      <c r="O673">
        <v>362028.74774801754</v>
      </c>
    </row>
    <row r="674" spans="14:15" x14ac:dyDescent="0.35">
      <c r="N674">
        <v>673</v>
      </c>
      <c r="O674">
        <v>350619.64614992839</v>
      </c>
    </row>
    <row r="675" spans="14:15" x14ac:dyDescent="0.35">
      <c r="N675">
        <v>674</v>
      </c>
      <c r="O675">
        <v>367429.64465048158</v>
      </c>
    </row>
    <row r="676" spans="14:15" x14ac:dyDescent="0.35">
      <c r="N676">
        <v>675</v>
      </c>
      <c r="O676">
        <v>346021.5146581275</v>
      </c>
    </row>
    <row r="677" spans="14:15" x14ac:dyDescent="0.35">
      <c r="N677">
        <v>676</v>
      </c>
      <c r="O677">
        <v>357031.14192929427</v>
      </c>
    </row>
    <row r="678" spans="14:15" x14ac:dyDescent="0.35">
      <c r="N678">
        <v>677</v>
      </c>
      <c r="O678">
        <v>363000.42263162346</v>
      </c>
    </row>
    <row r="679" spans="14:15" x14ac:dyDescent="0.35">
      <c r="N679">
        <v>678</v>
      </c>
      <c r="O679">
        <v>364253.71246655518</v>
      </c>
    </row>
    <row r="680" spans="14:15" x14ac:dyDescent="0.35">
      <c r="N680">
        <v>679</v>
      </c>
      <c r="O680">
        <v>345586.94865887606</v>
      </c>
    </row>
    <row r="681" spans="14:15" x14ac:dyDescent="0.35">
      <c r="N681">
        <v>680</v>
      </c>
      <c r="O681">
        <v>371155.24716350052</v>
      </c>
    </row>
    <row r="682" spans="14:15" x14ac:dyDescent="0.35">
      <c r="N682">
        <v>681</v>
      </c>
      <c r="O682">
        <v>369251.46759774949</v>
      </c>
    </row>
    <row r="683" spans="14:15" x14ac:dyDescent="0.35">
      <c r="N683">
        <v>682</v>
      </c>
      <c r="O683">
        <v>374410.08089429641</v>
      </c>
    </row>
    <row r="684" spans="14:15" x14ac:dyDescent="0.35">
      <c r="N684">
        <v>683</v>
      </c>
      <c r="O684">
        <v>363076.19315896311</v>
      </c>
    </row>
    <row r="685" spans="14:15" x14ac:dyDescent="0.35">
      <c r="N685">
        <v>684</v>
      </c>
      <c r="O685">
        <v>380666.58865525649</v>
      </c>
    </row>
    <row r="686" spans="14:15" x14ac:dyDescent="0.35">
      <c r="N686">
        <v>685</v>
      </c>
      <c r="O686">
        <v>353574.20802471822</v>
      </c>
    </row>
    <row r="687" spans="14:15" x14ac:dyDescent="0.35">
      <c r="N687">
        <v>686</v>
      </c>
      <c r="O687">
        <v>377702.78527138417</v>
      </c>
    </row>
    <row r="688" spans="14:15" x14ac:dyDescent="0.35">
      <c r="N688">
        <v>687</v>
      </c>
      <c r="O688">
        <v>357508.07331032143</v>
      </c>
    </row>
    <row r="689" spans="14:15" x14ac:dyDescent="0.35">
      <c r="N689">
        <v>688</v>
      </c>
      <c r="O689">
        <v>379273.14403603406</v>
      </c>
    </row>
    <row r="690" spans="14:15" x14ac:dyDescent="0.35">
      <c r="N690">
        <v>689</v>
      </c>
      <c r="O690">
        <v>362790.63277149911</v>
      </c>
    </row>
    <row r="691" spans="14:15" x14ac:dyDescent="0.35">
      <c r="N691">
        <v>690</v>
      </c>
      <c r="O691">
        <v>363763.38992240425</v>
      </c>
    </row>
    <row r="692" spans="14:15" x14ac:dyDescent="0.35">
      <c r="N692">
        <v>691</v>
      </c>
      <c r="O692">
        <v>363126.54305974749</v>
      </c>
    </row>
    <row r="693" spans="14:15" x14ac:dyDescent="0.35">
      <c r="N693">
        <v>692</v>
      </c>
      <c r="O693">
        <v>345521.50656472857</v>
      </c>
    </row>
    <row r="694" spans="14:15" x14ac:dyDescent="0.35">
      <c r="N694">
        <v>693</v>
      </c>
      <c r="O694">
        <v>368771.58140139619</v>
      </c>
    </row>
    <row r="695" spans="14:15" x14ac:dyDescent="0.35">
      <c r="N695">
        <v>694</v>
      </c>
      <c r="O695">
        <v>351802.57132853952</v>
      </c>
    </row>
    <row r="696" spans="14:15" x14ac:dyDescent="0.35">
      <c r="N696">
        <v>695</v>
      </c>
      <c r="O696">
        <v>349364.13819641678</v>
      </c>
    </row>
    <row r="697" spans="14:15" x14ac:dyDescent="0.35">
      <c r="N697">
        <v>696</v>
      </c>
      <c r="O697">
        <v>346832.2100308261</v>
      </c>
    </row>
    <row r="698" spans="14:15" x14ac:dyDescent="0.35">
      <c r="N698">
        <v>697</v>
      </c>
      <c r="O698">
        <v>362764.05334356899</v>
      </c>
    </row>
    <row r="699" spans="14:15" x14ac:dyDescent="0.35">
      <c r="N699">
        <v>698</v>
      </c>
      <c r="O699">
        <v>358592.95999391779</v>
      </c>
    </row>
    <row r="700" spans="14:15" x14ac:dyDescent="0.35">
      <c r="N700">
        <v>699</v>
      </c>
      <c r="O700">
        <v>357703.82659723214</v>
      </c>
    </row>
    <row r="701" spans="14:15" x14ac:dyDescent="0.35">
      <c r="N701">
        <v>700</v>
      </c>
      <c r="O701">
        <v>376513.57624540874</v>
      </c>
    </row>
    <row r="702" spans="14:15" x14ac:dyDescent="0.35">
      <c r="N702">
        <v>701</v>
      </c>
      <c r="O702">
        <v>368322.2294945044</v>
      </c>
    </row>
    <row r="703" spans="14:15" x14ac:dyDescent="0.35">
      <c r="N703">
        <v>702</v>
      </c>
      <c r="O703">
        <v>364420.67756640492</v>
      </c>
    </row>
    <row r="704" spans="14:15" x14ac:dyDescent="0.35">
      <c r="N704">
        <v>703</v>
      </c>
      <c r="O704">
        <v>357330.59786458482</v>
      </c>
    </row>
    <row r="705" spans="14:15" x14ac:dyDescent="0.35">
      <c r="N705">
        <v>704</v>
      </c>
      <c r="O705">
        <v>366252.94176653447</v>
      </c>
    </row>
    <row r="706" spans="14:15" x14ac:dyDescent="0.35">
      <c r="N706">
        <v>705</v>
      </c>
      <c r="O706">
        <v>368936.48853691912</v>
      </c>
    </row>
    <row r="707" spans="14:15" x14ac:dyDescent="0.35">
      <c r="N707">
        <v>706</v>
      </c>
      <c r="O707">
        <v>347599.71859556111</v>
      </c>
    </row>
    <row r="708" spans="14:15" x14ac:dyDescent="0.35">
      <c r="N708">
        <v>707</v>
      </c>
      <c r="O708">
        <v>353433.92819553206</v>
      </c>
    </row>
    <row r="709" spans="14:15" x14ac:dyDescent="0.35">
      <c r="N709">
        <v>708</v>
      </c>
      <c r="O709">
        <v>365787.45407841424</v>
      </c>
    </row>
    <row r="710" spans="14:15" x14ac:dyDescent="0.35">
      <c r="N710">
        <v>709</v>
      </c>
      <c r="O710">
        <v>361238.04219050356</v>
      </c>
    </row>
    <row r="711" spans="14:15" x14ac:dyDescent="0.35">
      <c r="N711">
        <v>710</v>
      </c>
      <c r="O711">
        <v>363762.98444514291</v>
      </c>
    </row>
    <row r="712" spans="14:15" x14ac:dyDescent="0.35">
      <c r="N712">
        <v>711</v>
      </c>
      <c r="O712">
        <v>346057.03852288157</v>
      </c>
    </row>
    <row r="713" spans="14:15" x14ac:dyDescent="0.35">
      <c r="N713">
        <v>712</v>
      </c>
      <c r="O713">
        <v>349435.20328933309</v>
      </c>
    </row>
    <row r="714" spans="14:15" x14ac:dyDescent="0.35">
      <c r="N714">
        <v>713</v>
      </c>
      <c r="O714">
        <v>366018.0721945322</v>
      </c>
    </row>
    <row r="715" spans="14:15" x14ac:dyDescent="0.35">
      <c r="N715">
        <v>714</v>
      </c>
      <c r="O715">
        <v>375054.82088766788</v>
      </c>
    </row>
    <row r="716" spans="14:15" x14ac:dyDescent="0.35">
      <c r="N716">
        <v>715</v>
      </c>
      <c r="O716">
        <v>356973.24966599949</v>
      </c>
    </row>
    <row r="717" spans="14:15" x14ac:dyDescent="0.35">
      <c r="N717">
        <v>716</v>
      </c>
      <c r="O717">
        <v>348182.11808270606</v>
      </c>
    </row>
    <row r="718" spans="14:15" x14ac:dyDescent="0.35">
      <c r="N718">
        <v>717</v>
      </c>
      <c r="O718">
        <v>359260.0998667106</v>
      </c>
    </row>
    <row r="719" spans="14:15" x14ac:dyDescent="0.35">
      <c r="N719">
        <v>718</v>
      </c>
      <c r="O719">
        <v>345700.4341587933</v>
      </c>
    </row>
    <row r="720" spans="14:15" x14ac:dyDescent="0.35">
      <c r="N720">
        <v>719</v>
      </c>
      <c r="O720">
        <v>367337.75978379836</v>
      </c>
    </row>
    <row r="721" spans="14:15" x14ac:dyDescent="0.35">
      <c r="N721">
        <v>720</v>
      </c>
      <c r="O721">
        <v>359516.74877170299</v>
      </c>
    </row>
    <row r="722" spans="14:15" x14ac:dyDescent="0.35">
      <c r="N722">
        <v>721</v>
      </c>
      <c r="O722">
        <v>355769.44242356089</v>
      </c>
    </row>
    <row r="723" spans="14:15" x14ac:dyDescent="0.35">
      <c r="N723">
        <v>722</v>
      </c>
      <c r="O723">
        <v>350483.71931381884</v>
      </c>
    </row>
    <row r="724" spans="14:15" x14ac:dyDescent="0.35">
      <c r="N724">
        <v>723</v>
      </c>
      <c r="O724">
        <v>354574.53244558431</v>
      </c>
    </row>
    <row r="725" spans="14:15" x14ac:dyDescent="0.35">
      <c r="N725">
        <v>724</v>
      </c>
      <c r="O725">
        <v>378885.03089490061</v>
      </c>
    </row>
    <row r="726" spans="14:15" x14ac:dyDescent="0.35">
      <c r="N726">
        <v>725</v>
      </c>
      <c r="O726">
        <v>359184.52803915582</v>
      </c>
    </row>
    <row r="727" spans="14:15" x14ac:dyDescent="0.35">
      <c r="N727">
        <v>726</v>
      </c>
      <c r="O727">
        <v>379536.62270133343</v>
      </c>
    </row>
    <row r="728" spans="14:15" x14ac:dyDescent="0.35">
      <c r="N728">
        <v>727</v>
      </c>
      <c r="O728">
        <v>367976.00749835238</v>
      </c>
    </row>
    <row r="729" spans="14:15" x14ac:dyDescent="0.35">
      <c r="N729">
        <v>728</v>
      </c>
      <c r="O729">
        <v>365072.48539761954</v>
      </c>
    </row>
    <row r="730" spans="14:15" x14ac:dyDescent="0.35">
      <c r="N730">
        <v>729</v>
      </c>
      <c r="O730">
        <v>350912.03013295494</v>
      </c>
    </row>
    <row r="731" spans="14:15" x14ac:dyDescent="0.35">
      <c r="N731">
        <v>730</v>
      </c>
      <c r="O731">
        <v>358322.95484812744</v>
      </c>
    </row>
    <row r="732" spans="14:15" x14ac:dyDescent="0.35">
      <c r="N732">
        <v>731</v>
      </c>
      <c r="O732">
        <v>366432.09996362962</v>
      </c>
    </row>
    <row r="733" spans="14:15" x14ac:dyDescent="0.35">
      <c r="N733">
        <v>732</v>
      </c>
      <c r="O733">
        <v>370698.43377435539</v>
      </c>
    </row>
    <row r="734" spans="14:15" x14ac:dyDescent="0.35">
      <c r="N734">
        <v>733</v>
      </c>
      <c r="O734">
        <v>365687.40708347812</v>
      </c>
    </row>
    <row r="735" spans="14:15" x14ac:dyDescent="0.35">
      <c r="N735">
        <v>734</v>
      </c>
      <c r="O735">
        <v>362691.07010693598</v>
      </c>
    </row>
    <row r="736" spans="14:15" x14ac:dyDescent="0.35">
      <c r="N736">
        <v>735</v>
      </c>
      <c r="O736">
        <v>369312.25384921313</v>
      </c>
    </row>
    <row r="737" spans="14:15" x14ac:dyDescent="0.35">
      <c r="N737">
        <v>736</v>
      </c>
      <c r="O737">
        <v>351776.1856172976</v>
      </c>
    </row>
    <row r="738" spans="14:15" x14ac:dyDescent="0.35">
      <c r="N738">
        <v>737</v>
      </c>
      <c r="O738">
        <v>356345.6479186131</v>
      </c>
    </row>
    <row r="739" spans="14:15" x14ac:dyDescent="0.35">
      <c r="N739">
        <v>738</v>
      </c>
      <c r="O739">
        <v>358076.93580741325</v>
      </c>
    </row>
    <row r="740" spans="14:15" x14ac:dyDescent="0.35">
      <c r="N740">
        <v>739</v>
      </c>
      <c r="O740">
        <v>357356.69239930774</v>
      </c>
    </row>
    <row r="741" spans="14:15" x14ac:dyDescent="0.35">
      <c r="N741">
        <v>740</v>
      </c>
      <c r="O741">
        <v>354486.53178727208</v>
      </c>
    </row>
    <row r="742" spans="14:15" x14ac:dyDescent="0.35">
      <c r="N742">
        <v>741</v>
      </c>
      <c r="O742">
        <v>351478.4701567369</v>
      </c>
    </row>
    <row r="743" spans="14:15" x14ac:dyDescent="0.35">
      <c r="N743">
        <v>742</v>
      </c>
      <c r="O743">
        <v>373197.47426510311</v>
      </c>
    </row>
    <row r="744" spans="14:15" x14ac:dyDescent="0.35">
      <c r="N744">
        <v>743</v>
      </c>
      <c r="O744">
        <v>360812.06555478723</v>
      </c>
    </row>
    <row r="745" spans="14:15" x14ac:dyDescent="0.35">
      <c r="N745">
        <v>744</v>
      </c>
      <c r="O745">
        <v>361927.59435974149</v>
      </c>
    </row>
    <row r="746" spans="14:15" x14ac:dyDescent="0.35">
      <c r="N746">
        <v>745</v>
      </c>
      <c r="O746">
        <v>372423.31188935443</v>
      </c>
    </row>
    <row r="747" spans="14:15" x14ac:dyDescent="0.35">
      <c r="N747">
        <v>746</v>
      </c>
      <c r="O747">
        <v>348808.2692369388</v>
      </c>
    </row>
    <row r="748" spans="14:15" x14ac:dyDescent="0.35">
      <c r="N748">
        <v>747</v>
      </c>
      <c r="O748">
        <v>367556.12397995492</v>
      </c>
    </row>
    <row r="749" spans="14:15" x14ac:dyDescent="0.35">
      <c r="N749">
        <v>748</v>
      </c>
      <c r="O749">
        <v>352393.68463015632</v>
      </c>
    </row>
    <row r="750" spans="14:15" x14ac:dyDescent="0.35">
      <c r="N750">
        <v>749</v>
      </c>
      <c r="O750">
        <v>360378.65629400802</v>
      </c>
    </row>
    <row r="751" spans="14:15" x14ac:dyDescent="0.35">
      <c r="N751">
        <v>750</v>
      </c>
      <c r="O751">
        <v>360608.90783106239</v>
      </c>
    </row>
    <row r="752" spans="14:15" x14ac:dyDescent="0.35">
      <c r="N752">
        <v>751</v>
      </c>
      <c r="O752">
        <v>368364.36409111909</v>
      </c>
    </row>
    <row r="753" spans="14:15" x14ac:dyDescent="0.35">
      <c r="N753">
        <v>752</v>
      </c>
      <c r="O753">
        <v>345491.52891914279</v>
      </c>
    </row>
    <row r="754" spans="14:15" x14ac:dyDescent="0.35">
      <c r="N754">
        <v>753</v>
      </c>
      <c r="O754">
        <v>371320.58204337989</v>
      </c>
    </row>
    <row r="755" spans="14:15" x14ac:dyDescent="0.35">
      <c r="N755">
        <v>754</v>
      </c>
      <c r="O755">
        <v>358318.35251822113</v>
      </c>
    </row>
    <row r="756" spans="14:15" x14ac:dyDescent="0.35">
      <c r="N756">
        <v>755</v>
      </c>
      <c r="O756">
        <v>355689.73210763733</v>
      </c>
    </row>
    <row r="757" spans="14:15" x14ac:dyDescent="0.35">
      <c r="N757">
        <v>756</v>
      </c>
      <c r="O757">
        <v>355362.77103557345</v>
      </c>
    </row>
    <row r="758" spans="14:15" x14ac:dyDescent="0.35">
      <c r="N758">
        <v>757</v>
      </c>
      <c r="O758">
        <v>377815.15311532718</v>
      </c>
    </row>
    <row r="759" spans="14:15" x14ac:dyDescent="0.35">
      <c r="N759">
        <v>758</v>
      </c>
      <c r="O759">
        <v>349021.36121090536</v>
      </c>
    </row>
    <row r="760" spans="14:15" x14ac:dyDescent="0.35">
      <c r="N760">
        <v>759</v>
      </c>
      <c r="O760">
        <v>366873.46936747769</v>
      </c>
    </row>
    <row r="761" spans="14:15" x14ac:dyDescent="0.35">
      <c r="N761">
        <v>760</v>
      </c>
      <c r="O761">
        <v>367423.05657206947</v>
      </c>
    </row>
    <row r="762" spans="14:15" x14ac:dyDescent="0.35">
      <c r="N762">
        <v>761</v>
      </c>
      <c r="O762">
        <v>363010.49885080452</v>
      </c>
    </row>
    <row r="763" spans="14:15" x14ac:dyDescent="0.35">
      <c r="N763">
        <v>762</v>
      </c>
      <c r="O763">
        <v>353428.08272422396</v>
      </c>
    </row>
    <row r="764" spans="14:15" x14ac:dyDescent="0.35">
      <c r="N764">
        <v>763</v>
      </c>
      <c r="O764">
        <v>355725.91851713968</v>
      </c>
    </row>
    <row r="765" spans="14:15" x14ac:dyDescent="0.35">
      <c r="N765">
        <v>764</v>
      </c>
      <c r="O765">
        <v>367410.05736747105</v>
      </c>
    </row>
    <row r="766" spans="14:15" x14ac:dyDescent="0.35">
      <c r="N766">
        <v>765</v>
      </c>
      <c r="O766">
        <v>371086.95884975395</v>
      </c>
    </row>
    <row r="767" spans="14:15" x14ac:dyDescent="0.35">
      <c r="N767">
        <v>766</v>
      </c>
      <c r="O767">
        <v>340998.62170437351</v>
      </c>
    </row>
    <row r="768" spans="14:15" x14ac:dyDescent="0.35">
      <c r="N768">
        <v>767</v>
      </c>
      <c r="O768">
        <v>368726.65720785887</v>
      </c>
    </row>
    <row r="769" spans="14:15" x14ac:dyDescent="0.35">
      <c r="N769">
        <v>768</v>
      </c>
      <c r="O769">
        <v>353803.63881610188</v>
      </c>
    </row>
    <row r="770" spans="14:15" x14ac:dyDescent="0.35">
      <c r="N770">
        <v>769</v>
      </c>
      <c r="O770">
        <v>370486.31897195836</v>
      </c>
    </row>
    <row r="771" spans="14:15" x14ac:dyDescent="0.35">
      <c r="N771">
        <v>770</v>
      </c>
      <c r="O771">
        <v>359554.09993432998</v>
      </c>
    </row>
    <row r="772" spans="14:15" x14ac:dyDescent="0.35">
      <c r="N772">
        <v>771</v>
      </c>
      <c r="O772">
        <v>356636.16050439654</v>
      </c>
    </row>
    <row r="773" spans="14:15" x14ac:dyDescent="0.35">
      <c r="N773">
        <v>772</v>
      </c>
      <c r="O773">
        <v>362922.1784496028</v>
      </c>
    </row>
    <row r="774" spans="14:15" x14ac:dyDescent="0.35">
      <c r="N774">
        <v>773</v>
      </c>
      <c r="O774">
        <v>352512.5742741648</v>
      </c>
    </row>
    <row r="775" spans="14:15" x14ac:dyDescent="0.35">
      <c r="N775">
        <v>774</v>
      </c>
      <c r="O775">
        <v>370083.91983380355</v>
      </c>
    </row>
    <row r="776" spans="14:15" x14ac:dyDescent="0.35">
      <c r="N776">
        <v>775</v>
      </c>
      <c r="O776">
        <v>360348.28717365942</v>
      </c>
    </row>
    <row r="777" spans="14:15" x14ac:dyDescent="0.35">
      <c r="N777">
        <v>776</v>
      </c>
      <c r="O777">
        <v>358686.99355474883</v>
      </c>
    </row>
    <row r="778" spans="14:15" x14ac:dyDescent="0.35">
      <c r="N778">
        <v>777</v>
      </c>
      <c r="O778">
        <v>368042.65287092212</v>
      </c>
    </row>
    <row r="779" spans="14:15" x14ac:dyDescent="0.35">
      <c r="N779">
        <v>778</v>
      </c>
      <c r="O779">
        <v>373814.61648346711</v>
      </c>
    </row>
    <row r="780" spans="14:15" x14ac:dyDescent="0.35">
      <c r="N780">
        <v>779</v>
      </c>
      <c r="O780">
        <v>351067.9065607544</v>
      </c>
    </row>
    <row r="781" spans="14:15" x14ac:dyDescent="0.35">
      <c r="N781">
        <v>780</v>
      </c>
      <c r="O781">
        <v>382447.27533618885</v>
      </c>
    </row>
    <row r="782" spans="14:15" x14ac:dyDescent="0.35">
      <c r="N782">
        <v>781</v>
      </c>
      <c r="O782">
        <v>364244.17882217182</v>
      </c>
    </row>
    <row r="783" spans="14:15" x14ac:dyDescent="0.35">
      <c r="N783">
        <v>782</v>
      </c>
      <c r="O783">
        <v>370613.98228287447</v>
      </c>
    </row>
    <row r="784" spans="14:15" x14ac:dyDescent="0.35">
      <c r="N784">
        <v>783</v>
      </c>
      <c r="O784">
        <v>362742.34061977256</v>
      </c>
    </row>
    <row r="785" spans="14:15" x14ac:dyDescent="0.35">
      <c r="N785">
        <v>784</v>
      </c>
      <c r="O785">
        <v>364035.73832981312</v>
      </c>
    </row>
    <row r="786" spans="14:15" x14ac:dyDescent="0.35">
      <c r="N786">
        <v>785</v>
      </c>
      <c r="O786">
        <v>363714.50328403368</v>
      </c>
    </row>
    <row r="787" spans="14:15" x14ac:dyDescent="0.35">
      <c r="N787">
        <v>786</v>
      </c>
      <c r="O787">
        <v>362167.05128856347</v>
      </c>
    </row>
    <row r="788" spans="14:15" x14ac:dyDescent="0.35">
      <c r="N788">
        <v>787</v>
      </c>
      <c r="O788">
        <v>351901.53112494649</v>
      </c>
    </row>
    <row r="789" spans="14:15" x14ac:dyDescent="0.35">
      <c r="N789">
        <v>788</v>
      </c>
      <c r="O789">
        <v>363307.19327362493</v>
      </c>
    </row>
    <row r="790" spans="14:15" x14ac:dyDescent="0.35">
      <c r="N790">
        <v>789</v>
      </c>
      <c r="O790">
        <v>358912.380605479</v>
      </c>
    </row>
    <row r="791" spans="14:15" x14ac:dyDescent="0.35">
      <c r="N791">
        <v>790</v>
      </c>
      <c r="O791">
        <v>364550.79246125475</v>
      </c>
    </row>
    <row r="792" spans="14:15" x14ac:dyDescent="0.35">
      <c r="N792">
        <v>791</v>
      </c>
      <c r="O792">
        <v>364442.76714096178</v>
      </c>
    </row>
    <row r="793" spans="14:15" x14ac:dyDescent="0.35">
      <c r="N793">
        <v>792</v>
      </c>
      <c r="O793">
        <v>362619.31642294372</v>
      </c>
    </row>
    <row r="794" spans="14:15" x14ac:dyDescent="0.35">
      <c r="N794">
        <v>793</v>
      </c>
      <c r="O794">
        <v>343867.96297799575</v>
      </c>
    </row>
    <row r="795" spans="14:15" x14ac:dyDescent="0.35">
      <c r="N795">
        <v>794</v>
      </c>
      <c r="O795">
        <v>358713.1600216325</v>
      </c>
    </row>
    <row r="796" spans="14:15" x14ac:dyDescent="0.35">
      <c r="N796">
        <v>795</v>
      </c>
      <c r="O796">
        <v>366576.38764991431</v>
      </c>
    </row>
    <row r="797" spans="14:15" x14ac:dyDescent="0.35">
      <c r="N797">
        <v>796</v>
      </c>
      <c r="O797">
        <v>373601.08783969504</v>
      </c>
    </row>
    <row r="798" spans="14:15" x14ac:dyDescent="0.35">
      <c r="N798">
        <v>797</v>
      </c>
      <c r="O798">
        <v>355804.57841456629</v>
      </c>
    </row>
    <row r="799" spans="14:15" x14ac:dyDescent="0.35">
      <c r="N799">
        <v>798</v>
      </c>
      <c r="O799">
        <v>371819.77542645799</v>
      </c>
    </row>
    <row r="800" spans="14:15" x14ac:dyDescent="0.35">
      <c r="N800">
        <v>799</v>
      </c>
      <c r="O800">
        <v>367963.34457195585</v>
      </c>
    </row>
    <row r="801" spans="14:15" x14ac:dyDescent="0.35">
      <c r="N801">
        <v>800</v>
      </c>
      <c r="O801">
        <v>369042.16775431501</v>
      </c>
    </row>
    <row r="802" spans="14:15" x14ac:dyDescent="0.35">
      <c r="N802">
        <v>801</v>
      </c>
      <c r="O802">
        <v>368897.96234086825</v>
      </c>
    </row>
    <row r="803" spans="14:15" x14ac:dyDescent="0.35">
      <c r="N803">
        <v>802</v>
      </c>
      <c r="O803">
        <v>354383.58735160279</v>
      </c>
    </row>
    <row r="804" spans="14:15" x14ac:dyDescent="0.35">
      <c r="N804">
        <v>803</v>
      </c>
      <c r="O804">
        <v>354220.81194770342</v>
      </c>
    </row>
    <row r="805" spans="14:15" x14ac:dyDescent="0.35">
      <c r="N805">
        <v>804</v>
      </c>
      <c r="O805">
        <v>366170.94282919302</v>
      </c>
    </row>
    <row r="806" spans="14:15" x14ac:dyDescent="0.35">
      <c r="N806">
        <v>805</v>
      </c>
      <c r="O806">
        <v>369538.47196064366</v>
      </c>
    </row>
    <row r="807" spans="14:15" x14ac:dyDescent="0.35">
      <c r="N807">
        <v>806</v>
      </c>
      <c r="O807">
        <v>362536.81238998676</v>
      </c>
    </row>
    <row r="808" spans="14:15" x14ac:dyDescent="0.35">
      <c r="N808">
        <v>807</v>
      </c>
      <c r="O808">
        <v>373250.07143514452</v>
      </c>
    </row>
    <row r="809" spans="14:15" x14ac:dyDescent="0.35">
      <c r="N809">
        <v>808</v>
      </c>
      <c r="O809">
        <v>356792.55846866814</v>
      </c>
    </row>
    <row r="810" spans="14:15" x14ac:dyDescent="0.35">
      <c r="N810">
        <v>809</v>
      </c>
      <c r="O810">
        <v>353512.32412240293</v>
      </c>
    </row>
    <row r="811" spans="14:15" x14ac:dyDescent="0.35">
      <c r="N811">
        <v>810</v>
      </c>
      <c r="O811">
        <v>383526.71864728484</v>
      </c>
    </row>
    <row r="812" spans="14:15" x14ac:dyDescent="0.35">
      <c r="N812">
        <v>811</v>
      </c>
      <c r="O812">
        <v>356590.0917123176</v>
      </c>
    </row>
    <row r="813" spans="14:15" x14ac:dyDescent="0.35">
      <c r="N813">
        <v>812</v>
      </c>
      <c r="O813">
        <v>359411.43005667912</v>
      </c>
    </row>
    <row r="814" spans="14:15" x14ac:dyDescent="0.35">
      <c r="N814">
        <v>813</v>
      </c>
      <c r="O814">
        <v>347836.0371310552</v>
      </c>
    </row>
    <row r="815" spans="14:15" x14ac:dyDescent="0.35">
      <c r="N815">
        <v>814</v>
      </c>
      <c r="O815">
        <v>369283.87315675203</v>
      </c>
    </row>
    <row r="816" spans="14:15" x14ac:dyDescent="0.35">
      <c r="N816">
        <v>815</v>
      </c>
      <c r="O816">
        <v>354700.48997498106</v>
      </c>
    </row>
    <row r="817" spans="14:15" x14ac:dyDescent="0.35">
      <c r="N817">
        <v>816</v>
      </c>
      <c r="O817">
        <v>358980.32573530427</v>
      </c>
    </row>
    <row r="818" spans="14:15" x14ac:dyDescent="0.35">
      <c r="N818">
        <v>817</v>
      </c>
      <c r="O818">
        <v>349765.32945720368</v>
      </c>
    </row>
    <row r="819" spans="14:15" x14ac:dyDescent="0.35">
      <c r="N819">
        <v>818</v>
      </c>
      <c r="O819">
        <v>361857.01012475247</v>
      </c>
    </row>
    <row r="820" spans="14:15" x14ac:dyDescent="0.35">
      <c r="N820">
        <v>819</v>
      </c>
      <c r="O820">
        <v>349854.13649252465</v>
      </c>
    </row>
    <row r="821" spans="14:15" x14ac:dyDescent="0.35">
      <c r="N821">
        <v>820</v>
      </c>
      <c r="O821">
        <v>361122.35306429444</v>
      </c>
    </row>
    <row r="822" spans="14:15" x14ac:dyDescent="0.35">
      <c r="N822">
        <v>821</v>
      </c>
      <c r="O822">
        <v>353022.68657216954</v>
      </c>
    </row>
    <row r="823" spans="14:15" x14ac:dyDescent="0.35">
      <c r="N823">
        <v>822</v>
      </c>
      <c r="O823">
        <v>367007.96060299035</v>
      </c>
    </row>
    <row r="824" spans="14:15" x14ac:dyDescent="0.35">
      <c r="N824">
        <v>823</v>
      </c>
      <c r="O824">
        <v>357033.61112483748</v>
      </c>
    </row>
    <row r="825" spans="14:15" x14ac:dyDescent="0.35">
      <c r="N825">
        <v>824</v>
      </c>
      <c r="O825">
        <v>361978.46357565722</v>
      </c>
    </row>
    <row r="826" spans="14:15" x14ac:dyDescent="0.35">
      <c r="N826">
        <v>825</v>
      </c>
      <c r="O826">
        <v>363815.43202427169</v>
      </c>
    </row>
    <row r="827" spans="14:15" x14ac:dyDescent="0.35">
      <c r="N827">
        <v>826</v>
      </c>
      <c r="O827">
        <v>358442.41297093907</v>
      </c>
    </row>
    <row r="828" spans="14:15" x14ac:dyDescent="0.35">
      <c r="N828">
        <v>827</v>
      </c>
      <c r="O828">
        <v>368098.51331784471</v>
      </c>
    </row>
    <row r="829" spans="14:15" x14ac:dyDescent="0.35">
      <c r="N829">
        <v>828</v>
      </c>
      <c r="O829">
        <v>354822.40123216104</v>
      </c>
    </row>
    <row r="830" spans="14:15" x14ac:dyDescent="0.35">
      <c r="N830">
        <v>829</v>
      </c>
      <c r="O830">
        <v>358075.94862585678</v>
      </c>
    </row>
    <row r="831" spans="14:15" x14ac:dyDescent="0.35">
      <c r="N831">
        <v>830</v>
      </c>
      <c r="O831">
        <v>358315.85566540016</v>
      </c>
    </row>
    <row r="832" spans="14:15" x14ac:dyDescent="0.35">
      <c r="N832">
        <v>831</v>
      </c>
      <c r="O832">
        <v>357571.22057453927</v>
      </c>
    </row>
    <row r="833" spans="14:15" x14ac:dyDescent="0.35">
      <c r="N833">
        <v>832</v>
      </c>
      <c r="O833">
        <v>369372.66502680618</v>
      </c>
    </row>
    <row r="834" spans="14:15" x14ac:dyDescent="0.35">
      <c r="N834">
        <v>833</v>
      </c>
      <c r="O834">
        <v>368473.8563735779</v>
      </c>
    </row>
    <row r="835" spans="14:15" x14ac:dyDescent="0.35">
      <c r="N835">
        <v>834</v>
      </c>
      <c r="O835">
        <v>368076.33877792221</v>
      </c>
    </row>
    <row r="836" spans="14:15" x14ac:dyDescent="0.35">
      <c r="N836">
        <v>835</v>
      </c>
      <c r="O836">
        <v>351128.67254207481</v>
      </c>
    </row>
    <row r="837" spans="14:15" x14ac:dyDescent="0.35">
      <c r="N837">
        <v>836</v>
      </c>
      <c r="O837">
        <v>368441.75695259316</v>
      </c>
    </row>
    <row r="838" spans="14:15" x14ac:dyDescent="0.35">
      <c r="N838">
        <v>837</v>
      </c>
      <c r="O838">
        <v>366575.36459968833</v>
      </c>
    </row>
    <row r="839" spans="14:15" x14ac:dyDescent="0.35">
      <c r="N839">
        <v>838</v>
      </c>
      <c r="O839">
        <v>362844.15706642513</v>
      </c>
    </row>
    <row r="840" spans="14:15" x14ac:dyDescent="0.35">
      <c r="N840">
        <v>839</v>
      </c>
      <c r="O840">
        <v>351575.07653662225</v>
      </c>
    </row>
    <row r="841" spans="14:15" x14ac:dyDescent="0.35">
      <c r="N841">
        <v>840</v>
      </c>
      <c r="O841">
        <v>354785.4811843434</v>
      </c>
    </row>
    <row r="842" spans="14:15" x14ac:dyDescent="0.35">
      <c r="N842">
        <v>841</v>
      </c>
      <c r="O842">
        <v>357312.30123254075</v>
      </c>
    </row>
    <row r="843" spans="14:15" x14ac:dyDescent="0.35">
      <c r="N843">
        <v>842</v>
      </c>
      <c r="O843">
        <v>354402.22308275371</v>
      </c>
    </row>
    <row r="844" spans="14:15" x14ac:dyDescent="0.35">
      <c r="N844">
        <v>843</v>
      </c>
      <c r="O844">
        <v>357442.3371300064</v>
      </c>
    </row>
    <row r="845" spans="14:15" x14ac:dyDescent="0.35">
      <c r="N845">
        <v>844</v>
      </c>
      <c r="O845">
        <v>349837.12223786098</v>
      </c>
    </row>
    <row r="846" spans="14:15" x14ac:dyDescent="0.35">
      <c r="N846">
        <v>845</v>
      </c>
      <c r="O846">
        <v>356862.5999108876</v>
      </c>
    </row>
    <row r="847" spans="14:15" x14ac:dyDescent="0.35">
      <c r="N847">
        <v>846</v>
      </c>
      <c r="O847">
        <v>368545.42512270488</v>
      </c>
    </row>
    <row r="848" spans="14:15" x14ac:dyDescent="0.35">
      <c r="N848">
        <v>847</v>
      </c>
      <c r="O848">
        <v>361559.48816839524</v>
      </c>
    </row>
    <row r="849" spans="14:15" x14ac:dyDescent="0.35">
      <c r="N849">
        <v>848</v>
      </c>
      <c r="O849">
        <v>379919.02735571121</v>
      </c>
    </row>
    <row r="850" spans="14:15" x14ac:dyDescent="0.35">
      <c r="N850">
        <v>849</v>
      </c>
      <c r="O850">
        <v>376309.92362380074</v>
      </c>
    </row>
    <row r="851" spans="14:15" x14ac:dyDescent="0.35">
      <c r="N851">
        <v>850</v>
      </c>
      <c r="O851">
        <v>369355.73890236102</v>
      </c>
    </row>
    <row r="852" spans="14:15" x14ac:dyDescent="0.35">
      <c r="N852">
        <v>851</v>
      </c>
      <c r="O852">
        <v>362051.85916778183</v>
      </c>
    </row>
    <row r="853" spans="14:15" x14ac:dyDescent="0.35">
      <c r="N853">
        <v>852</v>
      </c>
      <c r="O853">
        <v>363565.21618810791</v>
      </c>
    </row>
    <row r="854" spans="14:15" x14ac:dyDescent="0.35">
      <c r="N854">
        <v>853</v>
      </c>
      <c r="O854">
        <v>362736.14046644449</v>
      </c>
    </row>
    <row r="855" spans="14:15" x14ac:dyDescent="0.35">
      <c r="N855">
        <v>854</v>
      </c>
      <c r="O855">
        <v>357213.20555336546</v>
      </c>
    </row>
    <row r="856" spans="14:15" x14ac:dyDescent="0.35">
      <c r="N856">
        <v>855</v>
      </c>
      <c r="O856">
        <v>356740.12496396905</v>
      </c>
    </row>
    <row r="857" spans="14:15" x14ac:dyDescent="0.35">
      <c r="N857">
        <v>856</v>
      </c>
      <c r="O857">
        <v>374363.2714155647</v>
      </c>
    </row>
    <row r="858" spans="14:15" x14ac:dyDescent="0.35">
      <c r="N858">
        <v>857</v>
      </c>
      <c r="O858">
        <v>365668.80434812483</v>
      </c>
    </row>
    <row r="859" spans="14:15" x14ac:dyDescent="0.35">
      <c r="N859">
        <v>858</v>
      </c>
      <c r="O859">
        <v>370405.53834014724</v>
      </c>
    </row>
    <row r="860" spans="14:15" x14ac:dyDescent="0.35">
      <c r="N860">
        <v>859</v>
      </c>
      <c r="O860">
        <v>362895.18945904309</v>
      </c>
    </row>
    <row r="861" spans="14:15" x14ac:dyDescent="0.35">
      <c r="N861">
        <v>860</v>
      </c>
      <c r="O861">
        <v>364723.00292844727</v>
      </c>
    </row>
    <row r="862" spans="14:15" x14ac:dyDescent="0.35">
      <c r="N862">
        <v>861</v>
      </c>
      <c r="O862">
        <v>368991.93861993123</v>
      </c>
    </row>
    <row r="863" spans="14:15" x14ac:dyDescent="0.35">
      <c r="N863">
        <v>862</v>
      </c>
      <c r="O863">
        <v>361074.07521825912</v>
      </c>
    </row>
    <row r="864" spans="14:15" x14ac:dyDescent="0.35">
      <c r="N864">
        <v>863</v>
      </c>
      <c r="O864">
        <v>348563.13256151159</v>
      </c>
    </row>
    <row r="865" spans="14:15" x14ac:dyDescent="0.35">
      <c r="N865">
        <v>864</v>
      </c>
      <c r="O865">
        <v>347868.32668090326</v>
      </c>
    </row>
    <row r="866" spans="14:15" x14ac:dyDescent="0.35">
      <c r="N866">
        <v>865</v>
      </c>
      <c r="O866">
        <v>366068.19480058155</v>
      </c>
    </row>
    <row r="867" spans="14:15" x14ac:dyDescent="0.35">
      <c r="N867">
        <v>866</v>
      </c>
      <c r="O867">
        <v>357305.84779477282</v>
      </c>
    </row>
    <row r="868" spans="14:15" x14ac:dyDescent="0.35">
      <c r="N868">
        <v>867</v>
      </c>
      <c r="O868">
        <v>351412.74766471284</v>
      </c>
    </row>
    <row r="869" spans="14:15" x14ac:dyDescent="0.35">
      <c r="N869">
        <v>868</v>
      </c>
      <c r="O869">
        <v>364077.76481638488</v>
      </c>
    </row>
    <row r="870" spans="14:15" x14ac:dyDescent="0.35">
      <c r="N870">
        <v>869</v>
      </c>
      <c r="O870">
        <v>360065.71478322911</v>
      </c>
    </row>
    <row r="871" spans="14:15" x14ac:dyDescent="0.35">
      <c r="N871">
        <v>870</v>
      </c>
      <c r="O871">
        <v>364472.26444553223</v>
      </c>
    </row>
    <row r="872" spans="14:15" x14ac:dyDescent="0.35">
      <c r="N872">
        <v>871</v>
      </c>
      <c r="O872">
        <v>346140.637372531</v>
      </c>
    </row>
    <row r="873" spans="14:15" x14ac:dyDescent="0.35">
      <c r="N873">
        <v>872</v>
      </c>
      <c r="O873">
        <v>356920.24470057728</v>
      </c>
    </row>
    <row r="874" spans="14:15" x14ac:dyDescent="0.35">
      <c r="N874">
        <v>873</v>
      </c>
      <c r="O874">
        <v>359505.85699036857</v>
      </c>
    </row>
    <row r="875" spans="14:15" x14ac:dyDescent="0.35">
      <c r="N875">
        <v>874</v>
      </c>
      <c r="O875">
        <v>352262.98848562158</v>
      </c>
    </row>
    <row r="876" spans="14:15" x14ac:dyDescent="0.35">
      <c r="N876">
        <v>875</v>
      </c>
      <c r="O876">
        <v>363079.0932214887</v>
      </c>
    </row>
    <row r="877" spans="14:15" x14ac:dyDescent="0.35">
      <c r="N877">
        <v>876</v>
      </c>
      <c r="O877">
        <v>364989.51108225808</v>
      </c>
    </row>
    <row r="878" spans="14:15" x14ac:dyDescent="0.35">
      <c r="N878">
        <v>877</v>
      </c>
      <c r="O878">
        <v>370406.00959896558</v>
      </c>
    </row>
    <row r="879" spans="14:15" x14ac:dyDescent="0.35">
      <c r="N879">
        <v>878</v>
      </c>
      <c r="O879">
        <v>361356.03035081137</v>
      </c>
    </row>
    <row r="880" spans="14:15" x14ac:dyDescent="0.35">
      <c r="N880">
        <v>879</v>
      </c>
      <c r="O880">
        <v>370344.1011806188</v>
      </c>
    </row>
    <row r="881" spans="14:15" x14ac:dyDescent="0.35">
      <c r="N881">
        <v>880</v>
      </c>
      <c r="O881">
        <v>362787.85426648136</v>
      </c>
    </row>
    <row r="882" spans="14:15" x14ac:dyDescent="0.35">
      <c r="N882">
        <v>881</v>
      </c>
      <c r="O882">
        <v>362094.02366315649</v>
      </c>
    </row>
    <row r="883" spans="14:15" x14ac:dyDescent="0.35">
      <c r="N883">
        <v>882</v>
      </c>
      <c r="O883">
        <v>369208.62073673808</v>
      </c>
    </row>
    <row r="884" spans="14:15" x14ac:dyDescent="0.35">
      <c r="N884">
        <v>883</v>
      </c>
      <c r="O884">
        <v>350475.8901778406</v>
      </c>
    </row>
    <row r="885" spans="14:15" x14ac:dyDescent="0.35">
      <c r="N885">
        <v>884</v>
      </c>
      <c r="O885">
        <v>363147.2275269219</v>
      </c>
    </row>
    <row r="886" spans="14:15" x14ac:dyDescent="0.35">
      <c r="N886">
        <v>885</v>
      </c>
      <c r="O886">
        <v>354891.93469935766</v>
      </c>
    </row>
    <row r="887" spans="14:15" x14ac:dyDescent="0.35">
      <c r="N887">
        <v>886</v>
      </c>
      <c r="O887">
        <v>368230.26666309306</v>
      </c>
    </row>
    <row r="888" spans="14:15" x14ac:dyDescent="0.35">
      <c r="N888">
        <v>887</v>
      </c>
      <c r="O888">
        <v>368310.57118567702</v>
      </c>
    </row>
    <row r="889" spans="14:15" x14ac:dyDescent="0.35">
      <c r="N889">
        <v>888</v>
      </c>
      <c r="O889">
        <v>350848.35062106932</v>
      </c>
    </row>
    <row r="890" spans="14:15" x14ac:dyDescent="0.35">
      <c r="N890">
        <v>889</v>
      </c>
      <c r="O890">
        <v>373916.05666135496</v>
      </c>
    </row>
    <row r="891" spans="14:15" x14ac:dyDescent="0.35">
      <c r="N891">
        <v>890</v>
      </c>
      <c r="O891">
        <v>357658.31668872281</v>
      </c>
    </row>
    <row r="892" spans="14:15" x14ac:dyDescent="0.35">
      <c r="N892">
        <v>891</v>
      </c>
      <c r="O892">
        <v>366108.61643215327</v>
      </c>
    </row>
    <row r="893" spans="14:15" x14ac:dyDescent="0.35">
      <c r="N893">
        <v>892</v>
      </c>
      <c r="O893">
        <v>348352.89380768791</v>
      </c>
    </row>
    <row r="894" spans="14:15" x14ac:dyDescent="0.35">
      <c r="N894">
        <v>893</v>
      </c>
      <c r="O894">
        <v>355980.82180607779</v>
      </c>
    </row>
    <row r="895" spans="14:15" x14ac:dyDescent="0.35">
      <c r="N895">
        <v>894</v>
      </c>
      <c r="O895">
        <v>348661.96837059088</v>
      </c>
    </row>
    <row r="896" spans="14:15" x14ac:dyDescent="0.35">
      <c r="N896">
        <v>895</v>
      </c>
      <c r="O896">
        <v>365323.06622569275</v>
      </c>
    </row>
    <row r="897" spans="14:15" x14ac:dyDescent="0.35">
      <c r="N897">
        <v>896</v>
      </c>
      <c r="O897">
        <v>353643.37149962154</v>
      </c>
    </row>
    <row r="898" spans="14:15" x14ac:dyDescent="0.35">
      <c r="N898">
        <v>897</v>
      </c>
      <c r="O898">
        <v>351528.4437874867</v>
      </c>
    </row>
    <row r="899" spans="14:15" x14ac:dyDescent="0.35">
      <c r="N899">
        <v>898</v>
      </c>
      <c r="O899">
        <v>345445.97402205411</v>
      </c>
    </row>
    <row r="900" spans="14:15" x14ac:dyDescent="0.35">
      <c r="N900">
        <v>899</v>
      </c>
      <c r="O900">
        <v>367397.46648553055</v>
      </c>
    </row>
    <row r="901" spans="14:15" x14ac:dyDescent="0.35">
      <c r="N901">
        <v>900</v>
      </c>
      <c r="O901">
        <v>376559.79475019948</v>
      </c>
    </row>
    <row r="902" spans="14:15" x14ac:dyDescent="0.35">
      <c r="N902">
        <v>901</v>
      </c>
      <c r="O902">
        <v>350502.69653087814</v>
      </c>
    </row>
    <row r="903" spans="14:15" x14ac:dyDescent="0.35">
      <c r="N903">
        <v>902</v>
      </c>
      <c r="O903">
        <v>364337.05147767498</v>
      </c>
    </row>
    <row r="904" spans="14:15" x14ac:dyDescent="0.35">
      <c r="N904">
        <v>903</v>
      </c>
      <c r="O904">
        <v>350430.40955771081</v>
      </c>
    </row>
    <row r="905" spans="14:15" x14ac:dyDescent="0.35">
      <c r="N905">
        <v>904</v>
      </c>
      <c r="O905">
        <v>345280.15127249423</v>
      </c>
    </row>
    <row r="906" spans="14:15" x14ac:dyDescent="0.35">
      <c r="N906">
        <v>905</v>
      </c>
      <c r="O906">
        <v>370135.96619341883</v>
      </c>
    </row>
    <row r="907" spans="14:15" x14ac:dyDescent="0.35">
      <c r="N907">
        <v>906</v>
      </c>
      <c r="O907">
        <v>351625.53394632402</v>
      </c>
    </row>
    <row r="908" spans="14:15" x14ac:dyDescent="0.35">
      <c r="N908">
        <v>907</v>
      </c>
      <c r="O908">
        <v>370274.486635048</v>
      </c>
    </row>
    <row r="909" spans="14:15" x14ac:dyDescent="0.35">
      <c r="N909">
        <v>908</v>
      </c>
      <c r="O909">
        <v>365914.0837823386</v>
      </c>
    </row>
    <row r="910" spans="14:15" x14ac:dyDescent="0.35">
      <c r="N910">
        <v>909</v>
      </c>
      <c r="O910">
        <v>356870.70359336992</v>
      </c>
    </row>
    <row r="911" spans="14:15" x14ac:dyDescent="0.35">
      <c r="N911">
        <v>910</v>
      </c>
      <c r="O911">
        <v>343828.94977392582</v>
      </c>
    </row>
    <row r="912" spans="14:15" x14ac:dyDescent="0.35">
      <c r="N912">
        <v>911</v>
      </c>
      <c r="O912">
        <v>359484.51476056362</v>
      </c>
    </row>
    <row r="913" spans="14:15" x14ac:dyDescent="0.35">
      <c r="N913">
        <v>912</v>
      </c>
      <c r="O913">
        <v>354142.88067233469</v>
      </c>
    </row>
    <row r="914" spans="14:15" x14ac:dyDescent="0.35">
      <c r="N914">
        <v>913</v>
      </c>
      <c r="O914">
        <v>355002.62417217984</v>
      </c>
    </row>
    <row r="915" spans="14:15" x14ac:dyDescent="0.35">
      <c r="N915">
        <v>914</v>
      </c>
      <c r="O915">
        <v>363180.69257411186</v>
      </c>
    </row>
    <row r="916" spans="14:15" x14ac:dyDescent="0.35">
      <c r="N916">
        <v>915</v>
      </c>
      <c r="O916">
        <v>356842.70646008081</v>
      </c>
    </row>
    <row r="917" spans="14:15" x14ac:dyDescent="0.35">
      <c r="N917">
        <v>916</v>
      </c>
      <c r="O917">
        <v>353307.9527292251</v>
      </c>
    </row>
    <row r="918" spans="14:15" x14ac:dyDescent="0.35">
      <c r="N918">
        <v>917</v>
      </c>
      <c r="O918">
        <v>362673.75250057562</v>
      </c>
    </row>
    <row r="919" spans="14:15" x14ac:dyDescent="0.35">
      <c r="N919">
        <v>918</v>
      </c>
      <c r="O919">
        <v>365405.6625083632</v>
      </c>
    </row>
    <row r="920" spans="14:15" x14ac:dyDescent="0.35">
      <c r="N920">
        <v>919</v>
      </c>
      <c r="O920">
        <v>365846.1845098387</v>
      </c>
    </row>
    <row r="921" spans="14:15" x14ac:dyDescent="0.35">
      <c r="N921">
        <v>920</v>
      </c>
      <c r="O921">
        <v>361099.25511034089</v>
      </c>
    </row>
    <row r="922" spans="14:15" x14ac:dyDescent="0.35">
      <c r="N922">
        <v>921</v>
      </c>
      <c r="O922">
        <v>353694.3851890451</v>
      </c>
    </row>
    <row r="923" spans="14:15" x14ac:dyDescent="0.35">
      <c r="N923">
        <v>922</v>
      </c>
      <c r="O923">
        <v>354476.56820054317</v>
      </c>
    </row>
    <row r="924" spans="14:15" x14ac:dyDescent="0.35">
      <c r="N924">
        <v>923</v>
      </c>
      <c r="O924">
        <v>366021.12827199185</v>
      </c>
    </row>
    <row r="925" spans="14:15" x14ac:dyDescent="0.35">
      <c r="N925">
        <v>924</v>
      </c>
      <c r="O925">
        <v>354042.21227673482</v>
      </c>
    </row>
    <row r="926" spans="14:15" x14ac:dyDescent="0.35">
      <c r="N926">
        <v>925</v>
      </c>
      <c r="O926">
        <v>361077.94999883685</v>
      </c>
    </row>
    <row r="927" spans="14:15" x14ac:dyDescent="0.35">
      <c r="N927">
        <v>926</v>
      </c>
      <c r="O927">
        <v>362344.19808855065</v>
      </c>
    </row>
    <row r="928" spans="14:15" x14ac:dyDescent="0.35">
      <c r="N928">
        <v>927</v>
      </c>
      <c r="O928">
        <v>362710.78257008584</v>
      </c>
    </row>
    <row r="929" spans="14:15" x14ac:dyDescent="0.35">
      <c r="N929">
        <v>928</v>
      </c>
      <c r="O929">
        <v>361216.35750060203</v>
      </c>
    </row>
    <row r="930" spans="14:15" x14ac:dyDescent="0.35">
      <c r="N930">
        <v>929</v>
      </c>
      <c r="O930">
        <v>358916.03919513</v>
      </c>
    </row>
    <row r="931" spans="14:15" x14ac:dyDescent="0.35">
      <c r="N931">
        <v>930</v>
      </c>
      <c r="O931">
        <v>356699.64251716493</v>
      </c>
    </row>
    <row r="932" spans="14:15" x14ac:dyDescent="0.35">
      <c r="N932">
        <v>931</v>
      </c>
      <c r="O932">
        <v>359771.57227696385</v>
      </c>
    </row>
    <row r="933" spans="14:15" x14ac:dyDescent="0.35">
      <c r="N933">
        <v>932</v>
      </c>
      <c r="O933">
        <v>360976.56341483706</v>
      </c>
    </row>
    <row r="934" spans="14:15" x14ac:dyDescent="0.35">
      <c r="N934">
        <v>933</v>
      </c>
      <c r="O934">
        <v>364958.4548259548</v>
      </c>
    </row>
    <row r="935" spans="14:15" x14ac:dyDescent="0.35">
      <c r="N935">
        <v>934</v>
      </c>
      <c r="O935">
        <v>359992.01815468556</v>
      </c>
    </row>
    <row r="936" spans="14:15" x14ac:dyDescent="0.35">
      <c r="N936">
        <v>935</v>
      </c>
      <c r="O936">
        <v>364665.26848507597</v>
      </c>
    </row>
    <row r="937" spans="14:15" x14ac:dyDescent="0.35">
      <c r="N937">
        <v>936</v>
      </c>
      <c r="O937">
        <v>364065.94387965981</v>
      </c>
    </row>
    <row r="938" spans="14:15" x14ac:dyDescent="0.35">
      <c r="N938">
        <v>937</v>
      </c>
      <c r="O938">
        <v>356841.71747183515</v>
      </c>
    </row>
    <row r="939" spans="14:15" x14ac:dyDescent="0.35">
      <c r="N939">
        <v>938</v>
      </c>
      <c r="O939">
        <v>369468.53929456888</v>
      </c>
    </row>
    <row r="940" spans="14:15" x14ac:dyDescent="0.35">
      <c r="N940">
        <v>939</v>
      </c>
      <c r="O940">
        <v>358740.34014867374</v>
      </c>
    </row>
    <row r="941" spans="14:15" x14ac:dyDescent="0.35">
      <c r="N941">
        <v>940</v>
      </c>
      <c r="O941">
        <v>355462.30167058384</v>
      </c>
    </row>
    <row r="942" spans="14:15" x14ac:dyDescent="0.35">
      <c r="N942">
        <v>941</v>
      </c>
      <c r="O942">
        <v>357312.31430198305</v>
      </c>
    </row>
    <row r="943" spans="14:15" x14ac:dyDescent="0.35">
      <c r="N943">
        <v>942</v>
      </c>
      <c r="O943">
        <v>379690.26316716516</v>
      </c>
    </row>
    <row r="944" spans="14:15" x14ac:dyDescent="0.35">
      <c r="N944">
        <v>943</v>
      </c>
      <c r="O944">
        <v>362331.11536573683</v>
      </c>
    </row>
    <row r="945" spans="14:15" x14ac:dyDescent="0.35">
      <c r="N945">
        <v>944</v>
      </c>
      <c r="O945">
        <v>368442.93890286819</v>
      </c>
    </row>
    <row r="946" spans="14:15" x14ac:dyDescent="0.35">
      <c r="N946">
        <v>945</v>
      </c>
      <c r="O946">
        <v>354578.47564835992</v>
      </c>
    </row>
    <row r="947" spans="14:15" x14ac:dyDescent="0.35">
      <c r="N947">
        <v>946</v>
      </c>
      <c r="O947">
        <v>348875.34630918223</v>
      </c>
    </row>
    <row r="948" spans="14:15" x14ac:dyDescent="0.35">
      <c r="N948">
        <v>947</v>
      </c>
      <c r="O948">
        <v>346777.08754947642</v>
      </c>
    </row>
    <row r="949" spans="14:15" x14ac:dyDescent="0.35">
      <c r="N949">
        <v>948</v>
      </c>
      <c r="O949">
        <v>364156.68708781013</v>
      </c>
    </row>
    <row r="950" spans="14:15" x14ac:dyDescent="0.35">
      <c r="N950">
        <v>949</v>
      </c>
      <c r="O950">
        <v>360152.50367272284</v>
      </c>
    </row>
    <row r="951" spans="14:15" x14ac:dyDescent="0.35">
      <c r="N951">
        <v>950</v>
      </c>
      <c r="O951">
        <v>357045.95823322498</v>
      </c>
    </row>
    <row r="952" spans="14:15" x14ac:dyDescent="0.35">
      <c r="N952">
        <v>951</v>
      </c>
      <c r="O952">
        <v>360337.46118981054</v>
      </c>
    </row>
    <row r="953" spans="14:15" x14ac:dyDescent="0.35">
      <c r="N953">
        <v>952</v>
      </c>
      <c r="O953">
        <v>374598.08992630272</v>
      </c>
    </row>
    <row r="954" spans="14:15" x14ac:dyDescent="0.35">
      <c r="N954">
        <v>953</v>
      </c>
      <c r="O954">
        <v>363761.81291722978</v>
      </c>
    </row>
    <row r="955" spans="14:15" x14ac:dyDescent="0.35">
      <c r="N955">
        <v>954</v>
      </c>
      <c r="O955">
        <v>360651.51044463681</v>
      </c>
    </row>
    <row r="956" spans="14:15" x14ac:dyDescent="0.35">
      <c r="N956">
        <v>955</v>
      </c>
      <c r="O956">
        <v>343427.79662976367</v>
      </c>
    </row>
    <row r="957" spans="14:15" x14ac:dyDescent="0.35">
      <c r="N957">
        <v>956</v>
      </c>
      <c r="O957">
        <v>347385.49997469631</v>
      </c>
    </row>
    <row r="958" spans="14:15" x14ac:dyDescent="0.35">
      <c r="N958">
        <v>957</v>
      </c>
      <c r="O958">
        <v>358730.78099584091</v>
      </c>
    </row>
    <row r="959" spans="14:15" x14ac:dyDescent="0.35">
      <c r="N959">
        <v>958</v>
      </c>
      <c r="O959">
        <v>356777.71708723425</v>
      </c>
    </row>
    <row r="960" spans="14:15" x14ac:dyDescent="0.35">
      <c r="N960">
        <v>959</v>
      </c>
      <c r="O960">
        <v>366903.37503226456</v>
      </c>
    </row>
    <row r="961" spans="14:15" x14ac:dyDescent="0.35">
      <c r="N961">
        <v>960</v>
      </c>
      <c r="O961">
        <v>358940.2082999734</v>
      </c>
    </row>
    <row r="962" spans="14:15" x14ac:dyDescent="0.35">
      <c r="N962">
        <v>961</v>
      </c>
      <c r="O962">
        <v>363969.5616359252</v>
      </c>
    </row>
    <row r="963" spans="14:15" x14ac:dyDescent="0.35">
      <c r="N963">
        <v>962</v>
      </c>
      <c r="O963">
        <v>359161.59515561862</v>
      </c>
    </row>
    <row r="964" spans="14:15" x14ac:dyDescent="0.35">
      <c r="N964">
        <v>963</v>
      </c>
      <c r="O964">
        <v>359927.799261735</v>
      </c>
    </row>
    <row r="965" spans="14:15" x14ac:dyDescent="0.35">
      <c r="N965">
        <v>964</v>
      </c>
      <c r="O965">
        <v>363400.46324566088</v>
      </c>
    </row>
    <row r="966" spans="14:15" x14ac:dyDescent="0.35">
      <c r="N966">
        <v>965</v>
      </c>
      <c r="O966">
        <v>351289.76194930222</v>
      </c>
    </row>
    <row r="967" spans="14:15" x14ac:dyDescent="0.35">
      <c r="N967">
        <v>966</v>
      </c>
      <c r="O967">
        <v>345318.4084908556</v>
      </c>
    </row>
    <row r="968" spans="14:15" x14ac:dyDescent="0.35">
      <c r="N968">
        <v>967</v>
      </c>
      <c r="O968">
        <v>354195.20487781835</v>
      </c>
    </row>
    <row r="969" spans="14:15" x14ac:dyDescent="0.35">
      <c r="N969">
        <v>968</v>
      </c>
      <c r="O969">
        <v>377940.89872753195</v>
      </c>
    </row>
    <row r="970" spans="14:15" x14ac:dyDescent="0.35">
      <c r="N970">
        <v>969</v>
      </c>
      <c r="O970">
        <v>375022.82748405007</v>
      </c>
    </row>
    <row r="971" spans="14:15" x14ac:dyDescent="0.35">
      <c r="N971">
        <v>970</v>
      </c>
      <c r="O971">
        <v>369796.30713284004</v>
      </c>
    </row>
    <row r="972" spans="14:15" x14ac:dyDescent="0.35">
      <c r="N972">
        <v>971</v>
      </c>
      <c r="O972">
        <v>361538.91189720691</v>
      </c>
    </row>
    <row r="973" spans="14:15" x14ac:dyDescent="0.35">
      <c r="N973">
        <v>972</v>
      </c>
      <c r="O973">
        <v>369200.65235284122</v>
      </c>
    </row>
    <row r="974" spans="14:15" x14ac:dyDescent="0.35">
      <c r="N974">
        <v>973</v>
      </c>
      <c r="O974">
        <v>353448.17319912731</v>
      </c>
    </row>
    <row r="975" spans="14:15" x14ac:dyDescent="0.35">
      <c r="N975">
        <v>974</v>
      </c>
      <c r="O975">
        <v>369297.93466023065</v>
      </c>
    </row>
    <row r="976" spans="14:15" x14ac:dyDescent="0.35">
      <c r="N976">
        <v>975</v>
      </c>
      <c r="O976">
        <v>339747.76047980919</v>
      </c>
    </row>
    <row r="977" spans="14:15" x14ac:dyDescent="0.35">
      <c r="N977">
        <v>976</v>
      </c>
      <c r="O977">
        <v>348787.33163315267</v>
      </c>
    </row>
    <row r="978" spans="14:15" x14ac:dyDescent="0.35">
      <c r="N978">
        <v>977</v>
      </c>
      <c r="O978">
        <v>363888.48719675199</v>
      </c>
    </row>
    <row r="979" spans="14:15" x14ac:dyDescent="0.35">
      <c r="N979">
        <v>978</v>
      </c>
      <c r="O979">
        <v>359669.47964204563</v>
      </c>
    </row>
    <row r="980" spans="14:15" x14ac:dyDescent="0.35">
      <c r="N980">
        <v>979</v>
      </c>
      <c r="O980">
        <v>363735.43774950784</v>
      </c>
    </row>
    <row r="981" spans="14:15" x14ac:dyDescent="0.35">
      <c r="N981">
        <v>980</v>
      </c>
      <c r="O981">
        <v>350621.41022049251</v>
      </c>
    </row>
    <row r="982" spans="14:15" x14ac:dyDescent="0.35">
      <c r="N982">
        <v>981</v>
      </c>
      <c r="O982">
        <v>365057.15541390958</v>
      </c>
    </row>
    <row r="983" spans="14:15" x14ac:dyDescent="0.35">
      <c r="N983">
        <v>982</v>
      </c>
      <c r="O983">
        <v>369446.77320022293</v>
      </c>
    </row>
    <row r="984" spans="14:15" x14ac:dyDescent="0.35">
      <c r="N984">
        <v>983</v>
      </c>
      <c r="O984">
        <v>348789.76236209826</v>
      </c>
    </row>
    <row r="985" spans="14:15" x14ac:dyDescent="0.35">
      <c r="N985">
        <v>984</v>
      </c>
      <c r="O985">
        <v>350134.78434560512</v>
      </c>
    </row>
    <row r="986" spans="14:15" x14ac:dyDescent="0.35">
      <c r="N986">
        <v>985</v>
      </c>
      <c r="O986">
        <v>372974.45857434464</v>
      </c>
    </row>
    <row r="987" spans="14:15" x14ac:dyDescent="0.35">
      <c r="N987">
        <v>986</v>
      </c>
      <c r="O987">
        <v>366398.67677397182</v>
      </c>
    </row>
    <row r="988" spans="14:15" x14ac:dyDescent="0.35">
      <c r="N988">
        <v>987</v>
      </c>
      <c r="O988">
        <v>363156.21150992822</v>
      </c>
    </row>
    <row r="989" spans="14:15" x14ac:dyDescent="0.35">
      <c r="N989">
        <v>988</v>
      </c>
      <c r="O989">
        <v>360358.9339955147</v>
      </c>
    </row>
    <row r="990" spans="14:15" x14ac:dyDescent="0.35">
      <c r="N990">
        <v>989</v>
      </c>
      <c r="O990">
        <v>365088.35059526138</v>
      </c>
    </row>
    <row r="991" spans="14:15" x14ac:dyDescent="0.35">
      <c r="N991">
        <v>990</v>
      </c>
      <c r="O991">
        <v>364220.16037555295</v>
      </c>
    </row>
    <row r="992" spans="14:15" x14ac:dyDescent="0.35">
      <c r="N992">
        <v>991</v>
      </c>
      <c r="O992">
        <v>371580.85675766086</v>
      </c>
    </row>
    <row r="993" spans="14:15" x14ac:dyDescent="0.35">
      <c r="N993">
        <v>992</v>
      </c>
      <c r="O993">
        <v>350018.15193300211</v>
      </c>
    </row>
    <row r="994" spans="14:15" x14ac:dyDescent="0.35">
      <c r="N994">
        <v>993</v>
      </c>
      <c r="O994">
        <v>361570.75133349409</v>
      </c>
    </row>
    <row r="995" spans="14:15" x14ac:dyDescent="0.35">
      <c r="N995">
        <v>994</v>
      </c>
      <c r="O995">
        <v>362172.2753617948</v>
      </c>
    </row>
    <row r="996" spans="14:15" x14ac:dyDescent="0.35">
      <c r="N996">
        <v>995</v>
      </c>
      <c r="O996">
        <v>364266.34569434717</v>
      </c>
    </row>
    <row r="997" spans="14:15" x14ac:dyDescent="0.35">
      <c r="N997">
        <v>996</v>
      </c>
      <c r="O997">
        <v>358721.03514567687</v>
      </c>
    </row>
    <row r="998" spans="14:15" x14ac:dyDescent="0.35">
      <c r="N998">
        <v>997</v>
      </c>
      <c r="O998">
        <v>361978.44709361932</v>
      </c>
    </row>
    <row r="999" spans="14:15" x14ac:dyDescent="0.35">
      <c r="N999">
        <v>998</v>
      </c>
      <c r="O999">
        <v>366499.11611995805</v>
      </c>
    </row>
    <row r="1000" spans="14:15" x14ac:dyDescent="0.35">
      <c r="N1000">
        <v>999</v>
      </c>
      <c r="O1000">
        <v>364241.42520307057</v>
      </c>
    </row>
    <row r="1001" spans="14:15" x14ac:dyDescent="0.35">
      <c r="N1001">
        <v>1000</v>
      </c>
      <c r="O1001">
        <v>357772.60867425217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Sheet7</vt:lpstr>
      <vt:lpstr>Retirement Capital</vt:lpstr>
      <vt:lpstr>Sensitivity Report - Base case</vt:lpstr>
      <vt:lpstr>Base Case</vt:lpstr>
      <vt:lpstr>Sensitivity Report - Best Case</vt:lpstr>
      <vt:lpstr>Best Case</vt:lpstr>
      <vt:lpstr>Sensitivity Report - Worst Case</vt:lpstr>
      <vt:lpstr>Worst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2026-06-29T09:10:14Z</dcterms:created>
  <dcterms:modified xsi:type="dcterms:W3CDTF">2026-06-29T09:12:22Z</dcterms:modified>
</cp:coreProperties>
</file>